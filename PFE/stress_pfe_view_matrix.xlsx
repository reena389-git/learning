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 Matrix" sheetId="1" state="visible" r:id="rId1"/>
    <sheet xmlns:r="http://schemas.openxmlformats.org/officeDocument/2006/relationships" name="Join × business_date Audit" sheetId="2" state="visible" r:id="rId2"/>
    <sheet xmlns:r="http://schemas.openxmlformats.org/officeDocument/2006/relationships" name="Base Tables" sheetId="3" state="visible" r:id="rId3"/>
    <sheet xmlns:r="http://schemas.openxmlformats.org/officeDocument/2006/relationships" name="Data Anomalies &amp; Conformance" sheetId="4" state="visible" r:id="rId4"/>
    <sheet xmlns:r="http://schemas.openxmlformats.org/officeDocument/2006/relationships" name="Requirements Tally" sheetId="5" state="visible" r:id="rId5"/>
  </sheets>
  <definedNames>
    <definedName name="_xlnm._FilterDatabase" localSheetId="0" hidden="1">'View Matrix'!$A$4:$G$11</definedName>
    <definedName name="_xlnm._FilterDatabase" localSheetId="1" hidden="1">'Join × business_date Audit'!$A$4:$I$23</definedName>
    <definedName name="_xlnm._FilterDatabase" localSheetId="2" hidden="1">'Base Tables'!$A$4:$F$15</definedName>
    <definedName name="_xlnm._FilterDatabase" localSheetId="3" hidden="1">'Data Anomalies &amp; Conformance'!$A$4:$G$36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2E"/>
      <sz val="14"/>
    </font>
    <font>
      <name val="Arial"/>
      <i val="1"/>
      <color rgb="00595959"/>
      <sz val="9.5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E7B34"/>
      <sz val="10"/>
    </font>
    <font>
      <name val="Arial"/>
      <b val="1"/>
      <color rgb="00C0392B"/>
      <sz val="10"/>
    </font>
    <font>
      <name val="Arial"/>
      <b val="1"/>
      <color rgb="00B5651D"/>
      <sz val="10"/>
    </font>
    <font>
      <name val="Arial"/>
      <b val="1"/>
      <color rgb="002E7D32"/>
      <sz val="10"/>
    </font>
    <font>
      <name val="Arial"/>
      <b val="1"/>
      <color rgb="00FFFFFF"/>
      <sz val="10"/>
    </font>
  </fonts>
  <fills count="23">
    <fill>
      <patternFill/>
    </fill>
    <fill>
      <patternFill patternType="gray125"/>
    </fill>
    <fill>
      <patternFill patternType="solid">
        <fgColor rgb="001F4E2E"/>
      </patternFill>
    </fill>
    <fill>
      <patternFill patternType="solid">
        <fgColor rgb="00D6E4F0"/>
      </patternFill>
    </fill>
    <fill>
      <patternFill patternType="solid">
        <fgColor rgb="00D8EFD8"/>
      </patternFill>
    </fill>
    <fill>
      <patternFill patternType="solid">
        <fgColor rgb="00FBE8C8"/>
      </patternFill>
    </fill>
    <fill>
      <patternFill patternType="solid">
        <fgColor rgb="00E2E2E2"/>
      </patternFill>
    </fill>
    <fill>
      <patternFill patternType="solid">
        <fgColor rgb="00E8E0F0"/>
      </patternFill>
    </fill>
    <fill>
      <patternFill patternType="solid">
        <fgColor rgb="00EDEDED"/>
      </patternFill>
    </fill>
    <fill>
      <patternFill patternType="solid">
        <fgColor rgb="00F2F7F3"/>
      </patternFill>
    </fill>
    <fill>
      <patternFill patternType="solid">
        <fgColor rgb="00FBF2E6"/>
      </patternFill>
    </fill>
    <fill>
      <patternFill patternType="solid">
        <fgColor rgb="00EAF2EC"/>
      </patternFill>
    </fill>
    <fill>
      <patternFill patternType="solid">
        <fgColor rgb="00EFEAF4"/>
      </patternFill>
    </fill>
    <fill>
      <patternFill patternType="solid">
        <fgColor rgb="00DDE8F2"/>
      </patternFill>
    </fill>
    <fill>
      <patternFill patternType="solid">
        <fgColor rgb="00FBF3E6"/>
      </patternFill>
    </fill>
    <fill>
      <patternFill patternType="solid">
        <fgColor rgb="00F8D2D5"/>
      </patternFill>
    </fill>
    <fill>
      <patternFill patternType="solid">
        <fgColor rgb="00FCE9E6"/>
      </patternFill>
    </fill>
    <fill>
      <patternFill patternType="solid">
        <fgColor rgb="00FDEDED"/>
      </patternFill>
    </fill>
    <fill>
      <patternFill patternType="solid">
        <fgColor rgb="00E9F0F7"/>
      </patternFill>
    </fill>
    <fill>
      <patternFill patternType="solid">
        <fgColor rgb="00EFF6EA"/>
      </patternFill>
    </fill>
    <fill>
      <patternFill patternType="solid">
        <fgColor rgb="00F0F0F0"/>
      </patternFill>
    </fill>
    <fill>
      <patternFill patternType="solid">
        <fgColor rgb="00F3E0C8"/>
      </patternFill>
    </fill>
    <fill>
      <patternFill patternType="solid">
        <fgColor rgb="001F4E5F"/>
      </patternFill>
    </fill>
  </fills>
  <borders count="4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 style="thin">
        <color rgb="00D7E0DB"/>
      </left>
      <right style="thin">
        <color rgb="00D7E0DB"/>
      </right>
      <top style="thin">
        <color rgb="00D7E0DB"/>
      </top>
      <bottom style="thin">
        <color rgb="00D7E0DB"/>
      </bottom>
    </border>
    <border>
      <left style="thin">
        <color rgb="00C8D2CC"/>
      </left>
      <right style="thin">
        <color rgb="00C8D2CC"/>
      </right>
      <top style="thin">
        <color rgb="00C8D2CC"/>
      </top>
      <bottom style="thin">
        <color rgb="00C8D2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vertical="top" wrapText="1"/>
    </xf>
    <xf numFmtId="0" fontId="4" fillId="17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18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4" fillId="2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4" fillId="18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13" borderId="0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4" fillId="15" borderId="0" applyAlignment="1" pivotButton="0" quotePrefix="0" xfId="0">
      <alignment horizontal="center" vertical="top" wrapText="1"/>
    </xf>
    <xf numFmtId="0" fontId="8" fillId="21" borderId="1" applyAlignment="1" pivotButton="0" quotePrefix="0" xfId="0">
      <alignment horizontal="center" vertical="top" wrapText="1"/>
    </xf>
    <xf numFmtId="0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8" fillId="21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10" fillId="22" borderId="3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vertical="top" wrapText="1"/>
    </xf>
    <xf numFmtId="0" fontId="4" fillId="5" borderId="3" applyAlignment="1" pivotButton="0" quotePrefix="0" xfId="0">
      <alignment horizontal="center" vertical="top" wrapText="1"/>
    </xf>
    <xf numFmtId="0" fontId="4" fillId="4" borderId="3" applyAlignment="1" pivotButton="0" quotePrefix="0" xfId="0">
      <alignment horizontal="center" vertical="top" wrapText="1"/>
    </xf>
    <xf numFmtId="0" fontId="4" fillId="15" borderId="3" applyAlignment="1" pivotButton="0" quotePrefix="0" xfId="0">
      <alignment horizontal="center" vertical="top" wrapText="1"/>
    </xf>
    <xf numFmtId="0" fontId="4" fillId="15" borderId="0" applyAlignment="1" pivotButton="0" quotePrefix="0" xfId="0">
      <alignment vertical="top" wrapText="1"/>
    </xf>
    <xf numFmtId="0" fontId="4" fillId="13" borderId="0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0" fontId="5" fillId="4" borderId="3" applyAlignment="1" pivotButton="0" quotePrefix="0" xfId="0">
      <alignment horizontal="center" vertical="top" wrapText="1"/>
    </xf>
    <xf numFmtId="0" fontId="5" fillId="5" borderId="3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4" customWidth="1" min="3" max="3"/>
    <col width="30" customWidth="1" min="4" max="4"/>
    <col width="18" customWidth="1" min="5" max="5"/>
    <col width="52" customWidth="1" min="6" max="6"/>
    <col width="52" customWidth="1" min="7" max="7"/>
  </cols>
  <sheetData>
    <row r="1">
      <c r="A1" s="1" t="inlineStr">
        <is>
          <t>Stress-PFE Dashboard — View &amp; Table Dependency Matrix</t>
        </is>
      </c>
    </row>
    <row r="2">
      <c r="A2" s="2" t="inlineStr">
        <is>
          <t>Every view across the project (handoff + this session). Status marks changed vs unchanged. business_date column flags history-readiness — whether each view's joins will survive prior loads arriving next month.</t>
        </is>
      </c>
    </row>
    <row r="4">
      <c r="A4" s="3" t="inlineStr">
        <is>
          <t>View Name</t>
        </is>
      </c>
      <c r="B4" s="3" t="inlineStr">
        <is>
          <t>File</t>
        </is>
      </c>
      <c r="C4" s="3" t="inlineStr">
        <is>
          <t>Status</t>
        </is>
      </c>
      <c r="D4" s="3" t="inlineStr">
        <is>
          <t>Depends On (tables / views)</t>
        </is>
      </c>
      <c r="E4" s="3" t="inlineStr">
        <is>
          <t>Schema (core / core-raw)</t>
        </is>
      </c>
      <c r="F4" s="3" t="inlineStr">
        <is>
          <t>What Changed (vs prior)</t>
        </is>
      </c>
      <c r="G4" s="3" t="inlineStr">
        <is>
          <t>business_date / History Handling</t>
        </is>
      </c>
    </row>
    <row r="5" ht="150" customHeight="1">
      <c r="A5" s="4" t="inlineStr">
        <is>
          <t>vw_asts_portfolio_cp_stress</t>
        </is>
      </c>
      <c r="B5" s="5" t="inlineStr">
        <is>
          <t>portfolio_aggregation_v5.sql (v6 pending)</t>
        </is>
      </c>
      <c r="C5" s="6" t="inlineStr">
        <is>
          <t>CHANGED</t>
        </is>
      </c>
      <c r="D5" s="5" t="inlineStr">
        <is>
          <t>ats_summary (scenarios+dims, line grain) ; asts (bucket limit + breach flags + No_Line_Indicator). NOTE: ats_summary has NO No_Line_Indicator and NO sic_code — both must be sourced from asts / test_ats_summary.</t>
        </is>
      </c>
      <c r="E5" s="15" t="inlineStr">
        <is>
          <t>core
core</t>
        </is>
      </c>
      <c r="F5" s="5" t="inlineStr">
        <is>
          <t>v5: +sector(REQ1.1, HF gap) +breaches_any(REQ2.1.d). PENDING v6: No_Line_Indicator filter via anti-join to asts (107 no-line lines confirmed leaked into ats_summary — see Join Audit); HF sic_code 7298 override; otc_leg/sft_leg split.</t>
        </is>
      </c>
      <c r="G5" s="44" t="inlineStr">
        <is>
          <t>SAFE. business_date is a grain key (loads stack). The asts limit feed joins on line+business_date (date-aware). No hard date filter — exposes all loads; readers pick the date.</t>
        </is>
      </c>
    </row>
    <row r="6" ht="90" customHeight="1">
      <c r="A6" s="4" t="inlineStr">
        <is>
          <t>vw_cp_stress_hist_demo</t>
        </is>
      </c>
      <c r="B6" s="5" t="inlineStr">
        <is>
          <t>portfolio_aggregation_v2.sql</t>
        </is>
      </c>
      <c r="C6" s="12" t="inlineStr">
        <is>
          <t>SUPERSEDED</t>
        </is>
      </c>
      <c r="D6" s="5" t="inlineStr">
        <is>
          <t>vw_asts_portfolio_cp_stress
asts
ats_summary</t>
        </is>
      </c>
      <c r="E6" s="15" t="inlineStr">
        <is>
          <t>core
core
core</t>
        </is>
      </c>
      <c r="F6" s="5" t="inlineStr">
        <is>
          <t>RETIRED in v4. History now lives in ats_summary/asts themselves, so fabrication is gone; limit_amt + utilization folded onto vw_asts_portfolio_cp_stress. DROP VIEW.</t>
        </is>
      </c>
      <c r="G6" s="10" t="inlineStr">
        <is>
          <t>Retired — n/a.</t>
        </is>
      </c>
    </row>
    <row r="7" ht="180" customHeight="1">
      <c r="A7" s="4" t="inlineStr">
        <is>
          <t>vw_ast_breach_report</t>
        </is>
      </c>
      <c r="B7" s="5" t="inlineStr">
        <is>
          <t>vw_ast_breach_report_v6.sql</t>
        </is>
      </c>
      <c r="C7" s="6" t="inlineStr">
        <is>
          <t>CHANGED</t>
        </is>
      </c>
      <c r="D7" s="5" t="inlineStr">
        <is>
          <t>asts  (FROM + prior-month compare)
test_ats_summary
test_lines_report
pfe_exp_decomp_report
ats_dshbd_breach_commentary  (pending)</t>
        </is>
      </c>
      <c r="E7" s="15" t="inlineStr">
        <is>
          <t>core
core
core
core-raw
core</t>
        </is>
      </c>
      <c r="F7" s="5" t="inlineStr">
        <is>
          <t>v6: + Recurring_New (real — compares vs the prior business_date in asts), + Major_Risk_Driver + Feedback (analyst write-back, STUBBED NULL with ready join — model structure complete). v5 carried IM/IA/Worst_Scenario/Rating-from-asts; homed in xvala_core-raw.</t>
        </is>
      </c>
      <c r="G7" s="10" t="inlineStr">
        <is>
          <t>Mostly SAFE. asts pinned to '20260430'; prior_breached reads the prior date dynamically (history-aware). test_ats_summary join date-filtered. (!) ats_dshbd_breach_commentary join is unbuilt — when wired, date-filter it or it fans out.</t>
        </is>
      </c>
    </row>
    <row r="8" ht="124" customHeight="1">
      <c r="A8" s="4" t="inlineStr">
        <is>
          <t>vw_clients_lines</t>
        </is>
      </c>
      <c r="B8" s="5" t="inlineStr">
        <is>
          <t>clients_lines_unpivot.sql</t>
        </is>
      </c>
      <c r="C8" s="49" t="inlineStr">
        <is>
          <t>RETIRE?</t>
        </is>
      </c>
      <c r="D8" s="5" t="inlineStr">
        <is>
          <t>clients_report
-&gt; actually pfe_clients_report</t>
        </is>
      </c>
      <c r="E8" s="5" t="inlineStr">
        <is>
          <t>core (as written)
core-raw (actual)</t>
        </is>
      </c>
      <c r="F8" s="5" t="inlineStr">
        <is>
          <t>Belonged to the retired vw_breach_list_cp; NOT referenced by current breach v7 or portfolio v4. Retire candidate — verify UC lineage (no downstream) before drop.</t>
        </is>
      </c>
      <c r="G8" s="9" t="inlineStr">
        <is>
          <t>NOT history-safe. The unpivot carries no business_date column or filter; pfe_clients_report HAS business_date. When history flows it will emit rows for every load and the downstream line+line_type join fans out across dates. ACTION: carry business_date into the view and either filter to the run date or add business_date to the downstream join keys.</t>
        </is>
      </c>
    </row>
    <row r="9" ht="49" customHeight="1">
      <c r="A9" s="4" t="inlineStr">
        <is>
          <t>vw_breach_list_cp</t>
        </is>
      </c>
      <c r="B9" s="5" t="inlineStr">
        <is>
          <t>breach_list.sql</t>
        </is>
      </c>
      <c r="C9" s="12" t="inlineStr">
        <is>
          <t>SUPERSEDED</t>
        </is>
      </c>
      <c r="D9" s="5" t="inlineStr">
        <is>
          <t>lines_report
vw_clients_lines
vw_asts_portfolio_cp_stress
pfe_limit_config</t>
        </is>
      </c>
      <c r="E9" s="5" t="inlineStr">
        <is>
          <t>core-raw
core
core
core</t>
        </is>
      </c>
      <c r="F9" s="5" t="inlineStr">
        <is>
          <t>SUPERSEDED by vw_ast_breach_report (line-grain, this session). The old counterparty-grain breach list. Keep only as reference / rollback.</t>
        </is>
      </c>
      <c r="G9" s="9" t="inlineStr">
        <is>
          <t>NOT history-safe (joins on long_name and line+line_type, no date) — but MOOT. Recommend RETIRE rather than fix.</t>
        </is>
      </c>
    </row>
    <row r="10" ht="64" customHeight="1">
      <c r="A10" s="4" t="inlineStr">
        <is>
          <t>vw_tearsheet  (Level 3)</t>
        </is>
      </c>
      <c r="B10" s="5" t="inlineStr">
        <is>
          <t>— (not built this session)</t>
        </is>
      </c>
      <c r="C10" s="13" t="inlineStr">
        <is>
          <t>DESIGN ONLY</t>
        </is>
      </c>
      <c r="D10" s="5" t="inlineStr">
        <is>
          <t>vw_ats_summary / ats_summary
ats_dshbd_breach_commentary
pfe_deals_report</t>
        </is>
      </c>
      <c r="E10" s="5" t="inlineStr">
        <is>
          <t>core
core
core-raw</t>
        </is>
      </c>
      <c r="F10" s="5" t="inlineStr">
        <is>
          <t>Not built. Conceptual from the handoff: counterparty -&gt; scenarios -&gt; deals/lines tearsheet with commentary write-back. No SQL authored yet.</t>
        </is>
      </c>
      <c r="G10" s="10" t="inlineStr">
        <is>
          <t>TBD at build. Must include business_date in EVERY join from day one (deals + commentary + summary all carry it) — design it history-safe rather than retrofit.</t>
        </is>
      </c>
    </row>
    <row r="11" ht="64" customHeight="1">
      <c r="A11" s="4" t="inlineStr">
        <is>
          <t>vw_ats_summary</t>
        </is>
      </c>
      <c r="B11" s="5" t="inlineStr">
        <is>
          <t>— (pre-existing; confirm)</t>
        </is>
      </c>
      <c r="C11" s="14" t="inlineStr">
        <is>
          <t>REFERENCED</t>
        </is>
      </c>
      <c r="D11" s="5" t="inlineStr">
        <is>
          <t>ats_summary  (presumed wrapper)</t>
        </is>
      </c>
      <c r="E11" s="5" t="inlineStr">
        <is>
          <t>core</t>
        </is>
      </c>
      <c r="F11" s="5" t="inlineStr">
        <is>
          <t>Not ours. The handoff named it as the Level-1 source ('one row per line'). v2 currently sources ats_summary directly; if vw_ats_summary is the governed wrapper, repoint Level-1 to it.</t>
        </is>
      </c>
      <c r="G11" s="10" t="inlineStr">
        <is>
          <t>CONFIRM it passes business_date through unfiltered — Level-1 needs every load visible for history.</t>
        </is>
      </c>
    </row>
    <row r="12" ht="72" customHeight="1">
      <c r="A12" s="50" t="inlineStr">
        <is>
          <t>vw_asts_bucket_pivot</t>
        </is>
      </c>
      <c r="B12" s="51" t="inlineStr">
        <is>
          <t>—  (not in this build)</t>
        </is>
      </c>
      <c r="C12" s="52" t="inlineStr">
        <is>
          <t>RETIRE?</t>
        </is>
      </c>
      <c r="D12" s="51" t="inlineStr">
        <is>
          <t>(unknown — not read by current views)</t>
        </is>
      </c>
      <c r="E12" s="53" t="inlineStr">
        <is>
          <t>—</t>
        </is>
      </c>
      <c r="F12" s="51" t="inlineStr">
        <is>
          <t>NOT referenced by vw_asts_portfolio_cp_stress (v4) or vw_ast_breach_report (v7). No reference anywhere in the current product SQL. Retire candidate — verify UC Catalog Explorer lineage (downstream) before drop, in case another team reads it.</t>
        </is>
      </c>
      <c r="G12" s="51" t="inlineStr">
        <is>
          <t>n/a</t>
        </is>
      </c>
    </row>
    <row r="13" ht="72" customHeight="1">
      <c r="A13" s="50" t="inlineStr">
        <is>
          <t>vw_asts_client_line_report</t>
        </is>
      </c>
      <c r="B13" s="51" t="inlineStr">
        <is>
          <t>—  (not in this build)</t>
        </is>
      </c>
      <c r="C13" s="52" t="inlineStr">
        <is>
          <t>RETIRE?</t>
        </is>
      </c>
      <c r="D13" s="51" t="inlineStr">
        <is>
          <t>(unknown — not read by current views)</t>
        </is>
      </c>
      <c r="E13" s="53" t="inlineStr">
        <is>
          <t>—</t>
        </is>
      </c>
      <c r="F13" s="51" t="inlineStr">
        <is>
          <t>Same family as vw_clients_lines; NOT referenced by current breach v7 or portfolio v4. Breach client/line attributes come from test_ats_summary + test_lines_report instead. Retire candidate — verify UC lineage before drop.</t>
        </is>
      </c>
      <c r="G13" s="51" t="inlineStr">
        <is>
          <t>n/a</t>
        </is>
      </c>
    </row>
  </sheetData>
  <autoFilter ref="A4:G11"/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7" customWidth="1" min="3" max="3"/>
    <col width="10" customWidth="1" min="4" max="4"/>
    <col width="14" customWidth="1" min="5" max="5"/>
    <col width="18" customWidth="1" min="6" max="6"/>
    <col width="30" customWidth="1" min="7" max="7"/>
    <col width="14" customWidth="1" min="8" max="8"/>
    <col width="34" customWidth="1" min="9" max="9"/>
  </cols>
  <sheetData>
    <row r="1">
      <c r="A1" s="1" t="inlineStr">
        <is>
          <t>business_date Audit — one row per join / read</t>
        </is>
      </c>
    </row>
    <row r="2">
      <c r="A2" s="2" t="inlineStr">
        <is>
          <t>The history-break risk is per-join. For every read in every view: is business_date constrained, is the date hardcoded, and will it survive prior loads arriving? Fix the ⚠ rows before next month's load.</t>
        </is>
      </c>
    </row>
    <row r="4">
      <c r="A4" s="3" t="inlineStr">
        <is>
          <t>View</t>
        </is>
      </c>
      <c r="B4" s="3" t="inlineStr">
        <is>
          <t>Dependency object</t>
        </is>
      </c>
      <c r="C4" s="3" t="inlineStr">
        <is>
          <t>Type</t>
        </is>
      </c>
      <c r="D4" s="3" t="inlineStr">
        <is>
          <t>Schema</t>
        </is>
      </c>
      <c r="E4" s="3" t="inlineStr">
        <is>
          <t>Read / Join</t>
        </is>
      </c>
      <c r="F4" s="3" t="inlineStr">
        <is>
          <t>Join key</t>
        </is>
      </c>
      <c r="G4" s="3" t="inlineStr">
        <is>
          <t>business_date constrained?</t>
        </is>
      </c>
      <c r="H4" s="3" t="inlineStr">
        <is>
          <t>History-safe?</t>
        </is>
      </c>
      <c r="I4" s="3" t="inlineStr">
        <is>
          <t>Action</t>
        </is>
      </c>
    </row>
    <row r="5" ht="34" customHeight="1">
      <c r="A5" s="4" t="inlineStr">
        <is>
          <t>vw_asts_portfolio_cp_stress</t>
        </is>
      </c>
      <c r="B5" s="5" t="inlineStr">
        <is>
          <t>ats_summary</t>
        </is>
      </c>
      <c r="C5" s="15" t="inlineStr">
        <is>
          <t>table</t>
        </is>
      </c>
      <c r="D5" s="15" t="inlineStr">
        <is>
          <t>core</t>
        </is>
      </c>
      <c r="E5" s="5" t="inlineStr">
        <is>
          <t>FROM (GROUP BY)</t>
        </is>
      </c>
      <c r="F5" s="5" t="inlineStr">
        <is>
          <t>grain key</t>
        </is>
      </c>
      <c r="G5" s="5" t="inlineStr">
        <is>
          <t>Yes — business_date in GROUP BY; all dates exposed</t>
        </is>
      </c>
      <c r="H5" s="16" t="inlineStr">
        <is>
          <t>SAFE</t>
        </is>
      </c>
      <c r="I5" s="5" t="inlineStr">
        <is>
          <t>None. Readers filter to the wanted date.</t>
        </is>
      </c>
    </row>
    <row r="6" ht="30" customHeight="1">
      <c r="A6" s="4" t="inlineStr">
        <is>
          <t>vw_cp_stress_hist_demo</t>
        </is>
      </c>
      <c r="B6" s="5" t="inlineStr">
        <is>
          <t>vw_asts_portfolio_cp_stress</t>
        </is>
      </c>
      <c r="C6" s="15" t="inlineStr">
        <is>
          <t>view</t>
        </is>
      </c>
      <c r="D6" s="15" t="inlineStr">
        <is>
          <t>core</t>
        </is>
      </c>
      <c r="E6" s="5" t="inlineStr">
        <is>
          <t>FROM</t>
        </is>
      </c>
      <c r="F6" s="5" t="inlineStr">
        <is>
          <t>counterparty + otc_sft</t>
        </is>
      </c>
      <c r="G6" s="5" t="inlineStr">
        <is>
          <t>Partial — MAX(business_date), fabricates priors</t>
        </is>
      </c>
      <c r="H6" s="17" t="inlineStr">
        <is>
          <t>RETIRED</t>
        </is>
      </c>
      <c r="I6" s="5" t="inlineStr">
        <is>
          <t>Demo view dropped in v4.</t>
        </is>
      </c>
    </row>
    <row r="7" ht="30" customHeight="1">
      <c r="A7" s="4" t="inlineStr">
        <is>
          <t>vw_cp_stress_hist_demo</t>
        </is>
      </c>
      <c r="B7" s="5" t="inlineStr">
        <is>
          <t>asts (+ ats_summary for otc_sft)</t>
        </is>
      </c>
      <c r="C7" s="15" t="inlineStr">
        <is>
          <t>table</t>
        </is>
      </c>
      <c r="D7" s="15" t="inlineStr">
        <is>
          <t>core</t>
        </is>
      </c>
      <c r="E7" s="5" t="inlineStr">
        <is>
          <t>LEFT JOIN (asts_lim)</t>
        </is>
      </c>
      <c r="F7" s="5" t="inlineStr">
        <is>
          <t>line (+ date)</t>
        </is>
      </c>
      <c r="G7" s="5" t="inlineStr">
        <is>
          <t>Yes — WHERE business_date='20260430'; joined on line+date</t>
        </is>
      </c>
      <c r="H7" s="17" t="inlineStr">
        <is>
          <t>RETIRED</t>
        </is>
      </c>
      <c r="I7" s="5" t="inlineStr">
        <is>
          <t>Demo view dropped in v4.</t>
        </is>
      </c>
    </row>
    <row r="8" ht="34" customHeight="1">
      <c r="A8" s="4" t="inlineStr">
        <is>
          <t>vw_ast_breach_report</t>
        </is>
      </c>
      <c r="B8" s="5" t="inlineStr">
        <is>
          <t>asts</t>
        </is>
      </c>
      <c r="C8" s="15" t="inlineStr">
        <is>
          <t>table</t>
        </is>
      </c>
      <c r="D8" s="15" t="inlineStr">
        <is>
          <t>core</t>
        </is>
      </c>
      <c r="E8" s="5" t="inlineStr">
        <is>
          <t>FROM</t>
        </is>
      </c>
      <c r="F8" s="5" t="inlineStr">
        <is>
          <t>—</t>
        </is>
      </c>
      <c r="G8" s="5" t="inlineStr">
        <is>
          <t>Yes — WHERE business_date='20260430' (hardcoded)</t>
        </is>
      </c>
      <c r="H8" s="18" t="inlineStr">
        <is>
          <t>SAFE*</t>
        </is>
      </c>
      <c r="I8" s="5" t="inlineStr">
        <is>
          <t>Parameterize / bump date each monthly run.</t>
        </is>
      </c>
    </row>
    <row r="9" ht="34" customHeight="1">
      <c r="A9" s="4" t="inlineStr">
        <is>
          <t>vw_ast_breach_report</t>
        </is>
      </c>
      <c r="B9" s="5" t="inlineStr">
        <is>
          <t>test_ats_summary</t>
        </is>
      </c>
      <c r="C9" s="15" t="inlineStr">
        <is>
          <t>table</t>
        </is>
      </c>
      <c r="D9" s="15" t="inlineStr">
        <is>
          <t>core</t>
        </is>
      </c>
      <c r="E9" s="5" t="inlineStr">
        <is>
          <t>LEFT JOIN</t>
        </is>
      </c>
      <c r="F9" s="5" t="inlineStr">
        <is>
          <t>Line</t>
        </is>
      </c>
      <c r="G9" s="5" t="inlineStr">
        <is>
          <t>Yes — WHERE business_date='20260430' (I ADDED this)</t>
        </is>
      </c>
      <c r="H9" s="18" t="inlineStr">
        <is>
          <t>SAFE*</t>
        </is>
      </c>
      <c r="I9" s="5" t="inlineStr">
        <is>
          <t>Keep filter; bump date monthly. Was the fan-out risk.</t>
        </is>
      </c>
    </row>
    <row r="10" ht="49" customHeight="1">
      <c r="A10" s="4" t="inlineStr">
        <is>
          <t>vw_ast_breach_report</t>
        </is>
      </c>
      <c r="B10" s="5" t="inlineStr">
        <is>
          <t>test_lines_report</t>
        </is>
      </c>
      <c r="C10" s="15" t="inlineStr">
        <is>
          <t>table</t>
        </is>
      </c>
      <c r="D10" s="15" t="inlineStr">
        <is>
          <t>core</t>
        </is>
      </c>
      <c r="E10" s="5" t="inlineStr">
        <is>
          <t>LEFT JOIN</t>
        </is>
      </c>
      <c r="F10" s="5" t="inlineStr">
        <is>
          <t>Line</t>
        </is>
      </c>
      <c r="G10" s="5" t="inlineStr">
        <is>
          <t>Yes — WHERE business_date='2026-04-30' AND Source='CARTOR'</t>
        </is>
      </c>
      <c r="H10" s="18" t="inlineStr">
        <is>
          <t>SAFE*</t>
        </is>
      </c>
      <c r="I10" s="5" t="inlineStr">
        <is>
          <t>Bump date monthly. Note 'yyyy-mm-dd' format here.</t>
        </is>
      </c>
    </row>
    <row r="11" ht="49" customHeight="1">
      <c r="A11" s="4" t="inlineStr">
        <is>
          <t>vw_ast_breach_report</t>
        </is>
      </c>
      <c r="B11" s="5" t="inlineStr">
        <is>
          <t>pfe_exp_decomp_report</t>
        </is>
      </c>
      <c r="C11" s="15" t="inlineStr">
        <is>
          <t>table</t>
        </is>
      </c>
      <c r="D11" s="15" t="inlineStr">
        <is>
          <t>core-raw</t>
        </is>
      </c>
      <c r="E11" s="5" t="inlineStr">
        <is>
          <t>LEFT JOIN (ia_src)</t>
        </is>
      </c>
      <c r="F11" s="5" t="inlineStr">
        <is>
          <t>line</t>
        </is>
      </c>
      <c r="G11" s="5" t="inlineStr">
        <is>
          <t>Yes — WHERE business_date='20260430' AND product_group (confirm fmt)</t>
        </is>
      </c>
      <c r="H11" s="18" t="inlineStr">
        <is>
          <t>SAFE*</t>
        </is>
      </c>
      <c r="I11" s="5" t="inlineStr">
        <is>
          <t>Confirm date format (else IA all NULL); bump monthly.</t>
        </is>
      </c>
    </row>
    <row r="12" ht="34" customHeight="1">
      <c r="A12" s="4" t="inlineStr">
        <is>
          <t>vw_clients_lines</t>
        </is>
      </c>
      <c r="B12" s="5" t="inlineStr">
        <is>
          <t>pfe_clients_report</t>
        </is>
      </c>
      <c r="C12" s="15" t="inlineStr">
        <is>
          <t>table</t>
        </is>
      </c>
      <c r="D12" s="15" t="inlineStr">
        <is>
          <t>core-raw</t>
        </is>
      </c>
      <c r="E12" s="5" t="inlineStr">
        <is>
          <t>FROM (UNION ALL)</t>
        </is>
      </c>
      <c r="F12" s="5" t="inlineStr">
        <is>
          <t>—</t>
        </is>
      </c>
      <c r="G12" s="5" t="inlineStr">
        <is>
          <t>NO — no business_date column or filter</t>
        </is>
      </c>
      <c r="H12" s="19" t="inlineStr">
        <is>
          <t>UNSAFE</t>
        </is>
      </c>
      <c r="I12" s="5" t="inlineStr">
        <is>
          <t>Carry business_date; filter to run date or add to join keys.</t>
        </is>
      </c>
    </row>
    <row r="13" ht="34" customHeight="1">
      <c r="A13" s="4" t="inlineStr">
        <is>
          <t>vw_breach_list_cp  (deprecated)</t>
        </is>
      </c>
      <c r="B13" s="5" t="inlineStr">
        <is>
          <t>lines_report</t>
        </is>
      </c>
      <c r="C13" s="15" t="inlineStr">
        <is>
          <t>table</t>
        </is>
      </c>
      <c r="D13" s="15" t="inlineStr">
        <is>
          <t>core-raw</t>
        </is>
      </c>
      <c r="E13" s="5" t="inlineStr">
        <is>
          <t>FROM</t>
        </is>
      </c>
      <c r="F13" s="5" t="inlineStr">
        <is>
          <t>—</t>
        </is>
      </c>
      <c r="G13" s="5" t="inlineStr">
        <is>
          <t>No</t>
        </is>
      </c>
      <c r="H13" s="17" t="inlineStr">
        <is>
          <t>UNSAFE (moot)</t>
        </is>
      </c>
      <c r="I13" s="5" t="inlineStr">
        <is>
          <t>Retire view.</t>
        </is>
      </c>
    </row>
    <row r="14" ht="34" customHeight="1">
      <c r="A14" s="4" t="inlineStr">
        <is>
          <t>vw_breach_list_cp  (deprecated)</t>
        </is>
      </c>
      <c r="B14" s="5" t="inlineStr">
        <is>
          <t>vw_clients_lines</t>
        </is>
      </c>
      <c r="C14" s="15" t="inlineStr">
        <is>
          <t>view</t>
        </is>
      </c>
      <c r="D14" s="15" t="inlineStr">
        <is>
          <t>core</t>
        </is>
      </c>
      <c r="E14" s="5" t="inlineStr">
        <is>
          <t>JOIN</t>
        </is>
      </c>
      <c r="F14" s="5" t="inlineStr">
        <is>
          <t>line + line_type</t>
        </is>
      </c>
      <c r="G14" s="5" t="inlineStr">
        <is>
          <t>No (inherits clients no-date)</t>
        </is>
      </c>
      <c r="H14" s="17" t="inlineStr">
        <is>
          <t>UNSAFE (moot)</t>
        </is>
      </c>
      <c r="I14" s="5" t="inlineStr">
        <is>
          <t>Retire view.</t>
        </is>
      </c>
    </row>
    <row r="15" ht="34" customHeight="1">
      <c r="A15" s="4" t="inlineStr">
        <is>
          <t>vw_breach_list_cp  (deprecated)</t>
        </is>
      </c>
      <c r="B15" s="5" t="inlineStr">
        <is>
          <t>vw_asts_portfolio_cp_stress</t>
        </is>
      </c>
      <c r="C15" s="15" t="inlineStr">
        <is>
          <t>view</t>
        </is>
      </c>
      <c r="D15" s="15" t="inlineStr">
        <is>
          <t>core</t>
        </is>
      </c>
      <c r="E15" s="5" t="inlineStr">
        <is>
          <t>JOIN</t>
        </is>
      </c>
      <c r="F15" s="5" t="inlineStr">
        <is>
          <t>counterparty</t>
        </is>
      </c>
      <c r="G15" s="5" t="inlineStr">
        <is>
          <t>No</t>
        </is>
      </c>
      <c r="H15" s="17" t="inlineStr">
        <is>
          <t>UNSAFE (moot)</t>
        </is>
      </c>
      <c r="I15" s="5" t="inlineStr">
        <is>
          <t>Retire view.</t>
        </is>
      </c>
    </row>
    <row r="16" ht="34" customHeight="1">
      <c r="A16" s="4" t="inlineStr">
        <is>
          <t>vw_breach_list_cp  (deprecated)</t>
        </is>
      </c>
      <c r="B16" s="5" t="inlineStr">
        <is>
          <t>pfe_limit_config</t>
        </is>
      </c>
      <c r="C16" s="15" t="inlineStr">
        <is>
          <t>table</t>
        </is>
      </c>
      <c r="D16" s="15" t="inlineStr">
        <is>
          <t>core</t>
        </is>
      </c>
      <c r="E16" s="5" t="inlineStr">
        <is>
          <t>JOIN</t>
        </is>
      </c>
      <c r="F16" s="5" t="inlineStr">
        <is>
          <t>rating</t>
        </is>
      </c>
      <c r="G16" s="5" t="inlineStr">
        <is>
          <t>N/A — static reference</t>
        </is>
      </c>
      <c r="H16" s="16" t="inlineStr">
        <is>
          <t>SAFE</t>
        </is>
      </c>
      <c r="I16" s="5" t="inlineStr">
        <is>
          <t>Retire view.</t>
        </is>
      </c>
    </row>
    <row r="17" ht="34" customHeight="1">
      <c r="A17" s="4" t="inlineStr">
        <is>
          <t>vw_tearsheet  (design)</t>
        </is>
      </c>
      <c r="B17" s="5" t="inlineStr">
        <is>
          <t>vw_ats_summary / ats_summary</t>
        </is>
      </c>
      <c r="C17" s="15" t="inlineStr">
        <is>
          <t>table/view</t>
        </is>
      </c>
      <c r="D17" s="15" t="inlineStr">
        <is>
          <t>core</t>
        </is>
      </c>
      <c r="E17" s="5" t="inlineStr">
        <is>
          <t>TBD</t>
        </is>
      </c>
      <c r="F17" s="5" t="inlineStr">
        <is>
          <t>line</t>
        </is>
      </c>
      <c r="G17" s="5" t="inlineStr">
        <is>
          <t>TBD at build</t>
        </is>
      </c>
      <c r="H17" s="17" t="inlineStr">
        <is>
          <t>TBD</t>
        </is>
      </c>
      <c r="I17" s="5" t="inlineStr">
        <is>
          <t>Include business_date in join at build.</t>
        </is>
      </c>
    </row>
    <row r="18" ht="34" customHeight="1">
      <c r="A18" s="4" t="inlineStr">
        <is>
          <t>vw_tearsheet  (design)</t>
        </is>
      </c>
      <c r="B18" s="5" t="inlineStr">
        <is>
          <t>ats_dshbd_breach_commentary</t>
        </is>
      </c>
      <c r="C18" s="15" t="inlineStr">
        <is>
          <t>table</t>
        </is>
      </c>
      <c r="D18" s="15" t="inlineStr">
        <is>
          <t>core</t>
        </is>
      </c>
      <c r="E18" s="5" t="inlineStr">
        <is>
          <t>TBD</t>
        </is>
      </c>
      <c r="F18" s="5" t="inlineStr">
        <is>
          <t>line / cp + date</t>
        </is>
      </c>
      <c r="G18" s="5" t="inlineStr">
        <is>
          <t>TBD at build</t>
        </is>
      </c>
      <c r="H18" s="17" t="inlineStr">
        <is>
          <t>TBD</t>
        </is>
      </c>
      <c r="I18" s="5" t="inlineStr">
        <is>
          <t>Include business_date in join at build.</t>
        </is>
      </c>
    </row>
    <row r="19" ht="34" customHeight="1">
      <c r="A19" s="4" t="inlineStr">
        <is>
          <t>vw_tearsheet  (design)</t>
        </is>
      </c>
      <c r="B19" s="5" t="inlineStr">
        <is>
          <t>pfe_deals_report</t>
        </is>
      </c>
      <c r="C19" s="15" t="inlineStr">
        <is>
          <t>table</t>
        </is>
      </c>
      <c r="D19" s="15" t="inlineStr">
        <is>
          <t>core-raw</t>
        </is>
      </c>
      <c r="E19" s="5" t="inlineStr">
        <is>
          <t>TBD</t>
        </is>
      </c>
      <c r="F19" s="5" t="inlineStr">
        <is>
          <t>line / deal</t>
        </is>
      </c>
      <c r="G19" s="5" t="inlineStr">
        <is>
          <t>TBD at build</t>
        </is>
      </c>
      <c r="H19" s="17" t="inlineStr">
        <is>
          <t>TBD</t>
        </is>
      </c>
      <c r="I19" s="5" t="inlineStr">
        <is>
          <t>Include business_date in join at build.</t>
        </is>
      </c>
    </row>
    <row r="21" ht="30" customHeight="1">
      <c r="A21" s="45" t="inlineStr">
        <is>
          <t>vw_asts_portfolio_cp_stress</t>
        </is>
      </c>
      <c r="B21" s="42" t="inlineStr">
        <is>
          <t>asts (+ ats_summary for otc_sft)</t>
        </is>
      </c>
      <c r="C21" s="40" t="inlineStr">
        <is>
          <t>table</t>
        </is>
      </c>
      <c r="D21" s="40" t="inlineStr">
        <is>
          <t>core</t>
        </is>
      </c>
      <c r="E21" s="42" t="inlineStr">
        <is>
          <t>LEFT JOIN (asts_lim)</t>
        </is>
      </c>
      <c r="F21" s="42" t="inlineStr">
        <is>
          <t>line + business_date</t>
        </is>
      </c>
      <c r="G21" s="42" t="inlineStr">
        <is>
          <t>Yes — joined on line AND business_date</t>
        </is>
      </c>
      <c r="H21" s="46" t="inlineStr">
        <is>
          <t>SAFE</t>
        </is>
      </c>
      <c r="I21" s="42" t="inlineStr">
        <is>
          <t>Date-aware; loads stack cleanly.</t>
        </is>
      </c>
    </row>
    <row r="22" ht="30" customHeight="1">
      <c r="A22" s="45" t="inlineStr">
        <is>
          <t>vw_ast_breach_report</t>
        </is>
      </c>
      <c r="E22" s="42" t="inlineStr">
        <is>
          <t>LEFT JOIN</t>
        </is>
      </c>
      <c r="F22" s="42" t="inlineStr">
        <is>
          <t>line</t>
        </is>
      </c>
      <c r="G22" s="42" t="inlineStr">
        <is>
          <t>Yes — prior = MAX(business_date) &lt; current (dynamic)</t>
        </is>
      </c>
      <c r="H22" s="46" t="inlineStr">
        <is>
          <t>SAFE</t>
        </is>
      </c>
      <c r="I22" s="42" t="inlineStr">
        <is>
          <t>Drives Recurring_New; history-aware.</t>
        </is>
      </c>
    </row>
    <row r="23" ht="30" customHeight="1">
      <c r="A23" s="45" t="inlineStr">
        <is>
          <t>vw_ast_breach_report</t>
        </is>
      </c>
      <c r="E23" s="42" t="inlineStr">
        <is>
          <t>LEFT JOIN (pending)</t>
        </is>
      </c>
      <c r="F23" s="42" t="inlineStr">
        <is>
          <t>line (+ date?)</t>
        </is>
      </c>
      <c r="G23" s="42" t="inlineStr">
        <is>
          <t>UNBUILT — stub today</t>
        </is>
      </c>
      <c r="H23" s="47" t="inlineStr">
        <is>
          <t>TBD</t>
        </is>
      </c>
      <c r="I23" s="42" t="inlineStr">
        <is>
          <t>When wired: date-filter or it fans out.</t>
        </is>
      </c>
    </row>
    <row r="24">
      <c r="A24" s="20" t="inlineStr">
        <is>
          <t>Legend:</t>
        </is>
      </c>
    </row>
    <row r="25">
      <c r="A25" s="21" t="inlineStr">
        <is>
          <t>SAFE — history-ready as written</t>
        </is>
      </c>
    </row>
    <row r="26">
      <c r="A26" s="22" t="inlineStr">
        <is>
          <t>SAFE* — safe but date is hardcoded; bump or parameterize monthly</t>
        </is>
      </c>
    </row>
    <row r="27">
      <c r="A27" s="23" t="inlineStr">
        <is>
          <t>UNSAFE — will fan out / break when prior loads arrive</t>
        </is>
      </c>
    </row>
    <row r="28">
      <c r="A28" s="24" t="inlineStr">
        <is>
          <t>DEMO / TBD / moot — see Action</t>
        </is>
      </c>
    </row>
    <row r="29" ht="64" customHeight="1">
      <c r="A29" s="62" t="inlineStr">
        <is>
          <t>vw_asts_portfolio_cp_stress</t>
        </is>
      </c>
      <c r="B29" s="56" t="inlineStr">
        <is>
          <t>ats_summary</t>
        </is>
      </c>
      <c r="C29" s="63" t="inlineStr">
        <is>
          <t>table</t>
        </is>
      </c>
      <c r="D29" s="56" t="inlineStr">
        <is>
          <t>xvala_core</t>
        </is>
      </c>
      <c r="E29" s="56" t="inlineStr">
        <is>
          <t>Read (scenario sums + dims)</t>
        </is>
      </c>
      <c r="F29" s="56" t="inlineStr">
        <is>
          <t>line + business_date</t>
        </is>
      </c>
      <c r="G29" s="63" t="inlineStr">
        <is>
          <t>Yes (GROUP BY business_date)</t>
        </is>
      </c>
      <c r="H29" s="64" t="inlineStr">
        <is>
          <t>Safe</t>
        </is>
      </c>
      <c r="I29" s="56" t="inlineStr">
        <is>
          <t>DEP: line-grain source. MISSING on this table: No_Line_Indicator AND sic_code -&gt; must come from asts / test_ats_summary.</t>
        </is>
      </c>
    </row>
    <row r="30" ht="64" customHeight="1">
      <c r="A30" s="62" t="inlineStr">
        <is>
          <t>vw_asts_portfolio_cp_stress</t>
        </is>
      </c>
      <c r="B30" s="56" t="inlineStr">
        <is>
          <t>asts</t>
        </is>
      </c>
      <c r="C30" s="63" t="inlineStr">
        <is>
          <t>table</t>
        </is>
      </c>
      <c r="D30" s="56" t="inlineStr">
        <is>
          <t>xvala_core</t>
        </is>
      </c>
      <c r="E30" s="56" t="inlineStr">
        <is>
          <t>Join (bucket limit, breach flags, No_Line_Indicator)</t>
        </is>
      </c>
      <c r="F30" s="56" t="inlineStr">
        <is>
          <t>Line + business_date</t>
        </is>
      </c>
      <c r="G30" s="63" t="inlineStr">
        <is>
          <t>Yes</t>
        </is>
      </c>
      <c r="H30" s="64" t="inlineStr">
        <is>
          <t>Safe</t>
        </is>
      </c>
      <c r="I30" s="65" t="inlineStr">
        <is>
          <t>CONFIRMED: 107 no-line lines (No_Line_Indicator=TRUE) leaked into ats_summary (11,804 lines, 0 unmatched). v6 must anti-join asts to drop them — same rule as breach report.</t>
        </is>
      </c>
    </row>
    <row r="31" ht="64" customHeight="1">
      <c r="A31" s="62" t="inlineStr">
        <is>
          <t>vw_asts_portfolio_cp_stress</t>
        </is>
      </c>
      <c r="B31" s="56" t="inlineStr">
        <is>
          <t>test_ats_summary</t>
        </is>
      </c>
      <c r="C31" s="63" t="inlineStr">
        <is>
          <t>table</t>
        </is>
      </c>
      <c r="D31" s="56" t="inlineStr">
        <is>
          <t>xvala_core</t>
        </is>
      </c>
      <c r="E31" s="56" t="inlineStr">
        <is>
          <t>Join (PENDING v6 — sic_code for HF=7298)</t>
        </is>
      </c>
      <c r="F31" s="56" t="inlineStr">
        <is>
          <t>Line + business_date</t>
        </is>
      </c>
      <c r="G31" s="63" t="inlineStr">
        <is>
          <t>Yes</t>
        </is>
      </c>
      <c r="H31" s="64" t="inlineStr">
        <is>
          <t>Safe</t>
        </is>
      </c>
      <c r="I31" s="65" t="inlineStr">
        <is>
          <t>NEEDED: portfolio cannot resolve Hedge Funds (REQ1.1) without sic_code; ats_summary lacks it. Join test_ats_summary or have source add sic_code.</t>
        </is>
      </c>
    </row>
  </sheetData>
  <autoFilter ref="A4:I23"/>
  <mergeCells count="5">
    <mergeCell ref="A23:D23"/>
    <mergeCell ref="A2:I2"/>
    <mergeCell ref="A22:D22"/>
    <mergeCell ref="A25:D25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0" customWidth="1" min="3" max="3"/>
    <col width="16" customWidth="1" min="4" max="4"/>
    <col width="56" customWidth="1" min="5" max="5"/>
    <col width="26" customWidth="1" min="6" max="6"/>
  </cols>
  <sheetData>
    <row r="1">
      <c r="A1" s="1" t="inlineStr">
        <is>
          <t>Base Tables Reference</t>
        </is>
      </c>
    </row>
    <row r="2">
      <c r="A2" s="2" t="inlineStr">
        <is>
          <t>Source tables behind the views, with grain, history flag and the columns that matter. Catalog: d4001-centralus-tdvip-creditrisk.</t>
        </is>
      </c>
    </row>
    <row r="4">
      <c r="A4" s="3" t="inlineStr">
        <is>
          <t>Table</t>
        </is>
      </c>
      <c r="B4" s="3" t="inlineStr">
        <is>
          <t>Schema</t>
        </is>
      </c>
      <c r="C4" s="3" t="inlineStr">
        <is>
          <t>Grain</t>
        </is>
      </c>
      <c r="D4" s="3" t="inlineStr">
        <is>
          <t>Has business_date?</t>
        </is>
      </c>
      <c r="E4" s="3" t="inlineStr">
        <is>
          <t>Key columns / notes</t>
        </is>
      </c>
      <c r="F4" s="3" t="inlineStr">
        <is>
          <t>Used by</t>
        </is>
      </c>
    </row>
    <row r="5" ht="64" customHeight="1">
      <c r="A5" s="4" t="inlineStr">
        <is>
          <t>asts</t>
        </is>
      </c>
      <c r="B5" s="25" t="inlineStr">
        <is>
          <t>core</t>
        </is>
      </c>
      <c r="C5" s="5" t="inlineStr">
        <is>
          <t>line × scenario × timestep (detail; scenarios as rows)</t>
        </is>
      </c>
      <c r="D5" s="15" t="inlineStr">
        <is>
          <t>Yes  (yyyymmdd)</t>
        </is>
      </c>
      <c r="E5" s="5" t="inlineStr">
        <is>
          <t>6 *_Excess_Breach flags (STRING 'TRUE'); Max_Scenario_Exposure / Standard_Exposure / Limit_* are STRING with thousands commas -&gt; REPLACE+CAST; Max_Scenario_Name, Max_Exp_Time_Bucket; No_Line_Indicator.</t>
        </is>
      </c>
      <c r="F5" s="5" t="inlineStr">
        <is>
          <t>vw_ast_breach_report ; vw_asts_portfolio_cp_stress (limit)</t>
        </is>
      </c>
    </row>
    <row r="6" ht="64" customHeight="1">
      <c r="A6" s="4" t="inlineStr">
        <is>
          <t>ats_summary</t>
        </is>
      </c>
      <c r="B6" s="25" t="inlineStr">
        <is>
          <t>core</t>
        </is>
      </c>
      <c r="C6" s="5" t="inlineStr">
        <is>
          <t>line (wide; scenarios as columns)</t>
        </is>
      </c>
      <c r="D6" s="15" t="inlineStr">
        <is>
          <t>Yes  (yyyymmdd)</t>
        </is>
      </c>
      <c r="E6" s="5" t="inlineStr">
        <is>
          <t>8 *_max DOUBLE; max_of_all, scenario_of_max, percentage_of_impact; sic_industry, industry, otc_sft, worst_rating_of_associated_clients, limit_* DOUBLE. NO brr, NO sic_code.</t>
        </is>
      </c>
      <c r="F6" s="5" t="inlineStr">
        <is>
          <t>vw_asts_portfolio_cp_stress</t>
        </is>
      </c>
    </row>
    <row r="7" ht="49" customHeight="1">
      <c r="A7" s="4" t="inlineStr">
        <is>
          <t>test_ats_summary</t>
        </is>
      </c>
      <c r="B7" s="25" t="inlineStr">
        <is>
          <t>core (dev03)</t>
        </is>
      </c>
      <c r="C7" s="5" t="inlineStr">
        <is>
          <t>line</t>
        </is>
      </c>
      <c r="D7" s="15" t="inlineStr">
        <is>
          <t>Likely yes — confirm</t>
        </is>
      </c>
      <c r="E7" s="5" t="inlineStr">
        <is>
          <t>Dev copy that ADDS brr (confirm) and sic_code (CONFIRMED) over prod ats_summary; also sic_industry, otc_sft. Join key Line.</t>
        </is>
      </c>
      <c r="F7" s="5" t="inlineStr">
        <is>
          <t>vw_ast_breach_report</t>
        </is>
      </c>
    </row>
    <row r="8" ht="49" customHeight="1">
      <c r="A8" s="4" t="inlineStr">
        <is>
          <t>test_lines_report</t>
        </is>
      </c>
      <c r="B8" s="25" t="inlineStr">
        <is>
          <t>core (dev03)</t>
        </is>
      </c>
      <c r="C8" s="5" t="inlineStr">
        <is>
          <t>line × line_type × source(scenario)</t>
        </is>
      </c>
      <c r="D8" s="15" t="inlineStr">
        <is>
          <t>Yes  (yyyy-mm-dd)</t>
        </is>
      </c>
      <c r="E8" s="5" t="inlineStr">
        <is>
          <t>initial_margin (=IM), mark_to_market (=MTM), Source (scenario; filter CARTOR for base). Note 'yyyy-mm-dd' date format vs asts' 'yyyymmdd'.</t>
        </is>
      </c>
      <c r="F8" s="5" t="inlineStr">
        <is>
          <t>vw_ast_breach_report</t>
        </is>
      </c>
    </row>
    <row r="9" ht="80" customHeight="1">
      <c r="A9" s="4" t="inlineStr">
        <is>
          <t>pfe_limit_config</t>
        </is>
      </c>
      <c r="B9" s="26" t="inlineStr">
        <is>
          <t>core-raw</t>
        </is>
      </c>
      <c r="C9" s="5" t="inlineStr">
        <is>
          <t>rating (static reference)</t>
        </is>
      </c>
      <c r="D9" s="15" t="inlineStr">
        <is>
          <t>No</t>
        </is>
      </c>
      <c r="E9" s="5" t="inlineStr">
        <is>
          <t>cpinternalrating (ONE word, no underscore) -&gt; limit. Lives in xvala_core-raw (hyphen -&gt; backtick). No NIG keys. NOW REFERENCE-ONLY — the aggregation view switched to the asts bucket-matched limit, so no view depends on this anymore.</t>
        </is>
      </c>
      <c r="F9" s="5" t="inlineStr">
        <is>
          <t>(reference-only — not used by views)</t>
        </is>
      </c>
    </row>
    <row r="10" ht="34" customHeight="1">
      <c r="A10" s="4" t="inlineStr">
        <is>
          <t>ats_dshbd_breach_commentary</t>
        </is>
      </c>
      <c r="B10" s="25" t="inlineStr">
        <is>
          <t>core</t>
        </is>
      </c>
      <c r="C10" s="5" t="inlineStr">
        <is>
          <t>line / counterparty (analyst write-back)</t>
        </is>
      </c>
      <c r="D10" s="15" t="inlineStr">
        <is>
          <t>Likely yes</t>
        </is>
      </c>
      <c r="E10" s="5" t="inlineStr">
        <is>
          <t>primary_risk_driver (FX/IR/EQ/Metal) and analyst commentary. Target of the dashboard's Save-to-write-back.</t>
        </is>
      </c>
      <c r="F10" s="5" t="inlineStr">
        <is>
          <t>vw_ast_breach_report (Major_Risk_Driver + Feedback — pending wire)</t>
        </is>
      </c>
    </row>
    <row r="11" ht="49" customHeight="1">
      <c r="A11" s="4" t="inlineStr">
        <is>
          <t>vw_ats_summary</t>
        </is>
      </c>
      <c r="B11" s="25" t="inlineStr">
        <is>
          <t>core</t>
        </is>
      </c>
      <c r="C11" s="5" t="inlineStr">
        <is>
          <t>line (governed wrapper? — confirm)</t>
        </is>
      </c>
      <c r="D11" s="15" t="inlineStr">
        <is>
          <t>Confirm</t>
        </is>
      </c>
      <c r="E11" s="5" t="inlineStr">
        <is>
          <t>Possible governed read over ats_summary named in the handoff as the Level-1 source. Confirm existence and whether it passes business_date through.</t>
        </is>
      </c>
      <c r="F11" s="5" t="inlineStr">
        <is>
          <t>Level-1 (candidate source)</t>
        </is>
      </c>
    </row>
    <row r="12" ht="64" customHeight="1">
      <c r="A12" s="4" t="inlineStr">
        <is>
          <t>lines_report</t>
        </is>
      </c>
      <c r="B12" s="26" t="inlineStr">
        <is>
          <t>core-raw</t>
        </is>
      </c>
      <c r="C12" s="5" t="inlineStr">
        <is>
          <t>line × line_type</t>
        </is>
      </c>
      <c r="D12" s="15" t="inlineStr">
        <is>
          <t>Yes</t>
        </is>
      </c>
      <c r="E12" s="5" t="inlineStr">
        <is>
          <t>PROD source. initial_margin, mark_to_market, excess_flag, worst_rating_of_associated_clients, limit_* BIGINT, negative_mtm, threshold, secured_limit. (Breach view uses the test_ copy.)</t>
        </is>
      </c>
      <c r="F12" s="5" t="inlineStr">
        <is>
          <t>(prod source for test_lines_report)</t>
        </is>
      </c>
    </row>
    <row r="13" ht="64" customHeight="1">
      <c r="A13" s="4" t="inlineStr">
        <is>
          <t>pfe_clients_report</t>
        </is>
      </c>
      <c r="B13" s="26" t="inlineStr">
        <is>
          <t>core-raw</t>
        </is>
      </c>
      <c r="C13" s="5" t="inlineStr">
        <is>
          <t>counterparty (wide)</t>
        </is>
      </c>
      <c r="D13" s="15" t="inlineStr">
        <is>
          <t>Yes</t>
        </is>
      </c>
      <c r="E13" s="5" t="inlineStr">
        <is>
          <t>c2c_line / cont_line + *_no_line_indicator (STRING 'TRUE'/'FALSE'); td_account_rating; full SIC hierarchy (sic_class/code/segment/group/industry); immediate_parent, ultimate_parent (fallback options).</t>
        </is>
      </c>
      <c r="F13" s="5" t="inlineStr">
        <is>
          <t>vw_clients_lines</t>
        </is>
      </c>
    </row>
    <row r="14" ht="49" customHeight="1">
      <c r="A14" s="4" t="inlineStr">
        <is>
          <t>pfe_deals_report</t>
        </is>
      </c>
      <c r="B14" s="26" t="inlineStr">
        <is>
          <t>core-raw</t>
        </is>
      </c>
      <c r="C14" s="5" t="inlineStr">
        <is>
          <t>deal</t>
        </is>
      </c>
      <c r="D14" s="15" t="inlineStr">
        <is>
          <t>Yes</t>
        </is>
      </c>
      <c r="E14" s="5" t="inlineStr">
        <is>
          <t>deal_m2m, maturity_date, years_to_maturity, book, deal_type, new_deal_flag, im_model. Trade-level for the Level-3 tearsheet.</t>
        </is>
      </c>
      <c r="F14" s="5" t="inlineStr">
        <is>
          <t>tearsheet (planned)</t>
        </is>
      </c>
    </row>
    <row r="15" ht="64" customHeight="1">
      <c r="A15" s="4" t="inlineStr">
        <is>
          <t>pfe_exp_decomp_report</t>
        </is>
      </c>
      <c r="B15" s="26" t="inlineStr">
        <is>
          <t>core-raw</t>
        </is>
      </c>
      <c r="C15" s="5" t="inlineStr">
        <is>
          <t>line × source / product_group</t>
        </is>
      </c>
      <c r="D15" s="15" t="inlineStr">
        <is>
          <t>Yes</t>
        </is>
      </c>
      <c r="E15" s="5" t="inlineStr">
        <is>
          <t>max_usage_* (STRING); product_group selector — 'Lines_Report - With IM' carries IA in max_usage_0_3_mo; product_group also drives the asset-class-by-notional summary.</t>
        </is>
      </c>
      <c r="F15" s="5" t="inlineStr">
        <is>
          <t>vw_ast_breach_report (IA)</t>
        </is>
      </c>
    </row>
  </sheetData>
  <autoFilter ref="A4:F15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7" customWidth="1" min="4" max="4"/>
    <col width="40" customWidth="1" min="5" max="5"/>
    <col width="40" customWidth="1" min="6" max="6"/>
    <col width="11" customWidth="1" min="7" max="7"/>
  </cols>
  <sheetData>
    <row r="1">
      <c r="A1" s="1" t="inlineStr">
        <is>
          <t>Data Anomalies, Modeling &amp; Conformance Log</t>
        </is>
      </c>
    </row>
    <row r="2">
      <c r="A2" s="2" t="inlineStr">
        <is>
          <t>Every data-quality, typing, conformance and modeling gotcha surfaced across the project — what it is, where it lives, why it bites, how we handle it, and whether it's settled. Filter by Category or Status.</t>
        </is>
      </c>
    </row>
    <row r="4">
      <c r="A4" s="27" t="inlineStr">
        <is>
          <t>#</t>
        </is>
      </c>
      <c r="B4" s="27" t="inlineStr">
        <is>
          <t>Category</t>
        </is>
      </c>
      <c r="C4" s="27" t="inlineStr">
        <is>
          <t>Issue / Anomaly</t>
        </is>
      </c>
      <c r="D4" s="27" t="inlineStr">
        <is>
          <t>Where (table · view · column)</t>
        </is>
      </c>
      <c r="E4" s="27" t="inlineStr">
        <is>
          <t>Why it bites</t>
        </is>
      </c>
      <c r="F4" s="27" t="inlineStr">
        <is>
          <t>Handling / Mitigation</t>
        </is>
      </c>
      <c r="G4" s="27" t="inlineStr">
        <is>
          <t>Status</t>
        </is>
      </c>
    </row>
    <row r="5" ht="64" customHeight="1">
      <c r="A5" s="15" t="n">
        <v>1</v>
      </c>
      <c r="B5" s="28" t="inlineStr">
        <is>
          <t>Catalog / Naming</t>
        </is>
      </c>
      <c r="C5" s="5" t="inlineStr">
        <is>
          <t>Catalog name has hyphens: d4001-centralus-tdvip-creditrisk</t>
        </is>
      </c>
      <c r="D5" s="5" t="inlineStr">
        <is>
          <t>catalog (everywhere)</t>
        </is>
      </c>
      <c r="E5" s="5" t="inlineStr">
        <is>
          <t>Unquoted, the hyphen parses as minus and breaks the statement. saveAsTable can't take the multi-part hyphenated name at all.</t>
        </is>
      </c>
      <c r="F5" s="5" t="inlineStr">
        <is>
          <t>Backtick the catalog everywhere. For writes, USE CATALOG / USE SCHEMA then saveAsTable(bareName).</t>
        </is>
      </c>
      <c r="G5" s="29" t="inlineStr">
        <is>
          <t>Handled</t>
        </is>
      </c>
    </row>
    <row r="6" ht="49" customHeight="1">
      <c r="A6" s="15" t="n">
        <v>2</v>
      </c>
      <c r="B6" s="28" t="inlineStr">
        <is>
          <t>Catalog / Naming</t>
        </is>
      </c>
      <c r="C6" s="5" t="inlineStr">
        <is>
          <t>Schema xvala_core-raw also has a hyphen</t>
        </is>
      </c>
      <c r="D6" s="5" t="inlineStr">
        <is>
          <t>schema xvala_core-raw</t>
        </is>
      </c>
      <c r="E6" s="5" t="inlineStr">
        <is>
          <t>Easy to miss because the sibling xvala_core (no hyphen) quotes fine, so habit drops the backtick on -raw.</t>
        </is>
      </c>
      <c r="F6" s="5" t="inlineStr">
        <is>
          <t>Backtick xvala_core-raw too. All raw tables (pfe_*, lines_report) live there.</t>
        </is>
      </c>
      <c r="G6" s="29" t="inlineStr">
        <is>
          <t>Handled</t>
        </is>
      </c>
    </row>
    <row r="7" ht="49" customHeight="1">
      <c r="A7" s="15" t="n">
        <v>3</v>
      </c>
      <c r="B7" s="28" t="inlineStr">
        <is>
          <t>Catalog / Naming</t>
        </is>
      </c>
      <c r="C7" s="5" t="inlineStr">
        <is>
          <t>asts read from xvala_xva.asts</t>
        </is>
      </c>
      <c r="D7" s="5" t="inlineStr">
        <is>
          <t>vw_ast_breach_report</t>
        </is>
      </c>
      <c r="E7" s="5" t="inlineStr">
        <is>
          <t>Wrong schema — the DDL puts asts in xvala_core. Would fail or hit a stale/empty object.</t>
        </is>
      </c>
      <c r="F7" s="5" t="inlineStr">
        <is>
          <t>Corrected to xvala_core.asts in v4.</t>
        </is>
      </c>
      <c r="G7" s="29" t="inlineStr">
        <is>
          <t>Handled</t>
        </is>
      </c>
    </row>
    <row r="8" ht="49" customHeight="1">
      <c r="A8" s="15" t="n">
        <v>4</v>
      </c>
      <c r="B8" s="30" t="inlineStr">
        <is>
          <t>Data Types</t>
        </is>
      </c>
      <c r="C8" s="5" t="inlineStr">
        <is>
          <t>asts exposure/limit columns are STRING with thousands commas</t>
        </is>
      </c>
      <c r="D8" s="5" t="inlineStr">
        <is>
          <t>asts · Max_Scenario_Exposure, Standard_Exposure, Limit_*</t>
        </is>
      </c>
      <c r="E8" s="5" t="inlineStr">
        <is>
          <t>Any arithmetic on them errors or coerces wrong. Only the Excess_Percentage columns are real numerics.</t>
        </is>
      </c>
      <c r="F8" s="5" t="inlineStr">
        <is>
          <t>REPLACE(col, ',', '') then CAST AS DOUBLE before any math (done in breach_lines).</t>
        </is>
      </c>
      <c r="G8" s="29" t="inlineStr">
        <is>
          <t>Handled</t>
        </is>
      </c>
    </row>
    <row r="9" ht="34" customHeight="1">
      <c r="A9" s="15" t="n">
        <v>5</v>
      </c>
      <c r="B9" s="30" t="inlineStr">
        <is>
          <t>Data Types</t>
        </is>
      </c>
      <c r="C9" s="5" t="inlineStr">
        <is>
          <t>exp_decomp max_usage_* are STRING</t>
        </is>
      </c>
      <c r="D9" s="5" t="inlineStr">
        <is>
          <t>pfe_exp_decomp_report · max_usage_0_3_mo</t>
        </is>
      </c>
      <c r="E9" s="5" t="inlineStr">
        <is>
          <t>IA is carried in this column; needs casting like the asts columns.</t>
        </is>
      </c>
      <c r="F9" s="5" t="inlineStr">
        <is>
          <t>REPLACE+CAST AS DOUBLE in the ia_src CTE.</t>
        </is>
      </c>
      <c r="G9" s="29" t="inlineStr">
        <is>
          <t>Handled</t>
        </is>
      </c>
    </row>
    <row r="10" ht="49" customHeight="1">
      <c r="A10" s="15" t="n">
        <v>6</v>
      </c>
      <c r="B10" s="30" t="inlineStr">
        <is>
          <t>Data Types</t>
        </is>
      </c>
      <c r="C10" s="5" t="inlineStr">
        <is>
          <t>'Limit' is three different types across tables</t>
        </is>
      </c>
      <c r="D10" s="5" t="inlineStr">
        <is>
          <t>asts STRING · lines_report BIGINT · ats_summary DOUBLE</t>
        </is>
      </c>
      <c r="E10" s="5" t="inlineStr">
        <is>
          <t>Same business concept, three storage types — silent precision/format surprises when combining.</t>
        </is>
      </c>
      <c r="F10" s="5" t="inlineStr">
        <is>
          <t>Normalize to DOUBLE at read; never assume a common type.</t>
        </is>
      </c>
      <c r="G10" s="31" t="inlineStr">
        <is>
          <t>Watch</t>
        </is>
      </c>
    </row>
    <row r="11" ht="49" customHeight="1">
      <c r="A11" s="15" t="n">
        <v>7</v>
      </c>
      <c r="B11" s="30" t="inlineStr">
        <is>
          <t>Data Types</t>
        </is>
      </c>
      <c r="C11" s="5" t="inlineStr">
        <is>
          <t>Flags are STRING 'TRUE'/'FALSE', not booleans</t>
        </is>
      </c>
      <c r="D11" s="5" t="inlineStr">
        <is>
          <t>excess_flag · *_Excess_Breach · *_no_line_indicator</t>
        </is>
      </c>
      <c r="E11" s="5">
        <f> TRUE (boolean) won't match the string 'TRUE'; case/whitespace differences silently drop rows.</f>
        <v/>
      </c>
      <c r="F11" s="5" t="inlineStr">
        <is>
          <t>Compare to the literal string 'TRUE'/'FALSE' (upper/trim where unsure).</t>
        </is>
      </c>
      <c r="G11" s="29" t="inlineStr">
        <is>
          <t>Handled</t>
        </is>
      </c>
    </row>
    <row r="12" ht="49" customHeight="1">
      <c r="A12" s="15" t="n">
        <v>8</v>
      </c>
      <c r="B12" s="30" t="inlineStr">
        <is>
          <t>Data Types</t>
        </is>
      </c>
      <c r="C12" s="5" t="inlineStr">
        <is>
          <t>No_Line_Indicator typed inconsistently: BOOLEAN here, STRING there</t>
        </is>
      </c>
      <c r="D12" s="5" t="inlineStr">
        <is>
          <t>asts/lines_report (BOOLEAN) vs pfe_clients_report (STRING)</t>
        </is>
      </c>
      <c r="E12" s="5" t="inlineStr">
        <is>
          <t>Breach view compares the boolean column to string 'False'; Spark casts it but it's fragile and reader-confusing.</t>
        </is>
      </c>
      <c r="F12" s="5" t="inlineStr">
        <is>
          <t>Use = false / NOT col on boolean tables; = 'FALSE' on string tables. Don't mix.</t>
        </is>
      </c>
      <c r="G12" s="31" t="inlineStr">
        <is>
          <t>Watch</t>
        </is>
      </c>
    </row>
    <row r="13" ht="49" customHeight="1">
      <c r="A13" s="15" t="n">
        <v>9</v>
      </c>
      <c r="B13" s="32" t="inlineStr">
        <is>
          <t>Conformance / Format</t>
        </is>
      </c>
      <c r="C13" s="5" t="inlineStr">
        <is>
          <t>business_date format differs by table</t>
        </is>
      </c>
      <c r="D13" s="5" t="inlineStr">
        <is>
          <t>asts/ats_summary 'yyyymmdd' vs test_lines_report 'yyyy-mm-dd'</t>
        </is>
      </c>
      <c r="E13" s="5" t="inlineStr">
        <is>
          <t>A filter/join with the wrong format returns ZERO rows silently — no error, just empty (e.g. IA all NULL).</t>
        </is>
      </c>
      <c r="F13" s="5" t="inlineStr">
        <is>
          <t>Use the right literal per table. Validation queries check population, not just run success.</t>
        </is>
      </c>
      <c r="G13" s="31" t="inlineStr">
        <is>
          <t>Watch</t>
        </is>
      </c>
    </row>
    <row r="14" ht="49" customHeight="1">
      <c r="A14" s="15" t="n">
        <v>10</v>
      </c>
      <c r="B14" s="32" t="inlineStr">
        <is>
          <t>Conformance / Format</t>
        </is>
      </c>
      <c r="C14" s="5" t="inlineStr">
        <is>
          <t>Counterparty key is long_name (a name string)</t>
        </is>
      </c>
      <c r="D14" s="5" t="inlineStr">
        <is>
          <t>all views · long_name</t>
        </is>
      </c>
      <c r="E14" s="5" t="inlineStr">
        <is>
          <t>No stable CP code (cif_number doesn't exist). Renames/spelling drift break joins and split a name into two.</t>
        </is>
      </c>
      <c r="F14" s="5" t="inlineStr">
        <is>
          <t>Use long_name as the key for now; flag for a surrogate CP id later.</t>
        </is>
      </c>
      <c r="G14" s="31" t="inlineStr">
        <is>
          <t>Watch</t>
        </is>
      </c>
    </row>
    <row r="15" ht="49" customHeight="1">
      <c r="A15" s="15" t="n">
        <v>11</v>
      </c>
      <c r="B15" s="32" t="inlineStr">
        <is>
          <t>Conformance / Format</t>
        </is>
      </c>
      <c r="C15" s="5" t="inlineStr">
        <is>
          <t>Booking entity is embedded in the line string, not a column</t>
        </is>
      </c>
      <c r="D15" s="5" t="inlineStr">
        <is>
          <t>line e.g. CP_(TDBK)_(AMCQ_C2C); td_sub column is WRONG</t>
        </is>
      </c>
      <c r="E15" s="5" t="inlineStr">
        <is>
          <t>The obvious column (td_sub / entity_subsidiary) holds ESRN, not the entity. Using it gives the wrong entity.</t>
        </is>
      </c>
      <c r="F15" s="5" t="inlineStr">
        <is>
          <t>Parse entity = first parenthesised token via regexp_extract. Ignore td_sub for entity.</t>
        </is>
      </c>
      <c r="G15" s="29" t="inlineStr">
        <is>
          <t>Handled</t>
        </is>
      </c>
    </row>
    <row r="16" ht="49" customHeight="1">
      <c r="A16" s="15" t="n">
        <v>12</v>
      </c>
      <c r="B16" s="32" t="inlineStr">
        <is>
          <t>Conformance / Format</t>
        </is>
      </c>
      <c r="C16" s="5" t="inlineStr">
        <is>
          <t>Ratings carry a '(NIG)' suffix</t>
        </is>
      </c>
      <c r="D16" s="5" t="inlineStr">
        <is>
          <t>worst_rating_of_associated_clients · td_account_rating</t>
        </is>
      </c>
      <c r="E16" s="5" t="inlineStr">
        <is>
          <t>pfe_limit_config has no NIG keys, so a raw rating with '(NIG)' won't match → null limit.</t>
        </is>
      </c>
      <c r="F16" s="5" t="inlineStr">
        <is>
          <t>Strip '(NIG)' before the limit join; keep NIG as a separate flag.</t>
        </is>
      </c>
      <c r="G16" s="29" t="inlineStr">
        <is>
          <t>Handled</t>
        </is>
      </c>
    </row>
    <row r="17" ht="49" customHeight="1">
      <c r="A17" s="15" t="n">
        <v>13</v>
      </c>
      <c r="B17" s="32" t="inlineStr">
        <is>
          <t>Conformance / Format</t>
        </is>
      </c>
      <c r="C17" s="5" t="inlineStr">
        <is>
          <t>Scenario codes are cryptic (e.g. 'scenario_of_max' = '25 Max')</t>
        </is>
      </c>
      <c r="D17" s="5" t="inlineStr">
        <is>
          <t>ats_summary.scenario_of_max · asts.Max_Scenario_Name</t>
        </is>
      </c>
      <c r="E17" s="5" t="inlineStr">
        <is>
          <t>Not human-readable for the Forum; need a mapping to Correlation_1.0 / Stress 75 / etc.</t>
        </is>
      </c>
      <c r="F17" s="5" t="inlineStr">
        <is>
          <t>Build a scenario-name lookup; Worst_Scenario exposes the raw code until then.</t>
        </is>
      </c>
      <c r="G17" s="33" t="inlineStr">
        <is>
          <t>Open</t>
        </is>
      </c>
    </row>
    <row r="18" ht="64" customHeight="1">
      <c r="A18" s="15" t="n">
        <v>14</v>
      </c>
      <c r="B18" s="32" t="inlineStr">
        <is>
          <t>Conformance / Format</t>
        </is>
      </c>
      <c r="C18" s="5" t="inlineStr">
        <is>
          <t>Industry is placeholder / unmapped</t>
        </is>
      </c>
      <c r="D18" s="5" t="inlineStr">
        <is>
          <t>ats_summary industry='Other', sic_industry='NO_INDUSTRY'</t>
        </is>
      </c>
      <c r="E18" s="5" t="inlineStr">
        <is>
          <t>The pack needs 5 mapped sectors (hedge funds=SIC 7298, else Corporates). 'Commercial' looks like a segment, not an industry.</t>
        </is>
      </c>
      <c r="F18" s="5" t="inlineStr">
        <is>
          <t>Apply the SIC-&gt;sector CASE; confirm the 'Commercial' attribute. V4 dumps distinct industry values.</t>
        </is>
      </c>
      <c r="G18" s="33" t="inlineStr">
        <is>
          <t>Open</t>
        </is>
      </c>
    </row>
    <row r="19" ht="64" customHeight="1">
      <c r="A19" s="15" t="n">
        <v>15</v>
      </c>
      <c r="B19" s="34" t="inlineStr">
        <is>
          <t>Magic Strings</t>
        </is>
      </c>
      <c r="C19" s="5" t="inlineStr">
        <is>
          <t>IA gated by a literal text filter on a repurposed column</t>
        </is>
      </c>
      <c r="D19" s="5" t="inlineStr">
        <is>
          <t>pfe_exp_decomp_report · product_group = 'Lines_Report - With IM'</t>
        </is>
      </c>
      <c r="E19" s="5" t="inlineStr">
        <is>
          <t>The IA value rides max_usage_0_3_mo only when product_group matches that exact string. A label/case/spacing change silently nulls all IA.</t>
        </is>
      </c>
      <c r="F19" s="5" t="inlineStr">
        <is>
          <t>Match verbatim; GROUP BY line to dedupe. V-IA checks IA population so a miss is caught.</t>
        </is>
      </c>
      <c r="G19" s="29" t="inlineStr">
        <is>
          <t>Handled</t>
        </is>
      </c>
    </row>
    <row r="20" ht="49" customHeight="1">
      <c r="A20" s="15" t="n">
        <v>16</v>
      </c>
      <c r="B20" s="35" t="inlineStr">
        <is>
          <t>Completeness / Nulls</t>
        </is>
      </c>
      <c r="C20" s="5" t="inlineStr">
        <is>
          <t>td_account_rating NULL for ~82–193 CPs</t>
        </is>
      </c>
      <c r="D20" s="5" t="inlineStr">
        <is>
          <t>pfe_clients_report (non-C2C coverage)</t>
        </is>
      </c>
      <c r="E20" s="5" t="inlineStr">
        <is>
          <t>No obligor rating → no limit → no utilisation for those names unless handled.</t>
        </is>
      </c>
      <c r="F20" s="5" t="inlineStr">
        <is>
          <t>Conservative fallback to worst rating, flagged td_rating_is_fallback. Fallback rule pending business sign-off.</t>
        </is>
      </c>
      <c r="G20" s="33" t="inlineStr">
        <is>
          <t>Open</t>
        </is>
      </c>
    </row>
    <row r="21" ht="49" customHeight="1">
      <c r="A21" s="15" t="n">
        <v>17</v>
      </c>
      <c r="B21" s="35" t="inlineStr">
        <is>
          <t>Completeness / Nulls</t>
        </is>
      </c>
      <c r="C21" s="5" t="inlineStr">
        <is>
          <t>Cartor (Base) scenario empty this load</t>
        </is>
      </c>
      <c r="D21" s="5" t="inlineStr">
        <is>
          <t>ats_summary.cartor_max · asts Standard_Exposure</t>
        </is>
      </c>
      <c r="E21" s="5" t="inlineStr">
        <is>
          <t>standard_pfe comes out 0, so 'standard vs stress' and the util fallback denominator are wrong.</t>
        </is>
      </c>
      <c r="F21" s="5" t="inlineStr">
        <is>
          <t>Source real Standard PFE from the standard-usage columns / lines_report instead of Cartor.</t>
        </is>
      </c>
      <c r="G21" s="33" t="inlineStr">
        <is>
          <t>Open</t>
        </is>
      </c>
    </row>
    <row r="22" ht="49" customHeight="1">
      <c r="A22" s="15" t="n">
        <v>18</v>
      </c>
      <c r="B22" s="35" t="inlineStr">
        <is>
          <t>Completeness / Nulls</t>
        </is>
      </c>
      <c r="C22" s="5" t="inlineStr">
        <is>
          <t>brr &amp; sic_code absent from prod ats_summary</t>
        </is>
      </c>
      <c r="D22" s="5" t="inlineStr">
        <is>
          <t>only on test_ats_summary (dev03)</t>
        </is>
      </c>
      <c r="E22" s="5" t="inlineStr">
        <is>
          <t>Rating and SIC_Code in the breach view depend on a dev table; on prod they'd be NULL.</t>
        </is>
      </c>
      <c r="F22" s="5" t="inlineStr">
        <is>
          <t>sic_code CONFIRMED on test_ats_summary; brr still to verify (V-RATING). Else derive brr from worst_rating.</t>
        </is>
      </c>
      <c r="G22" s="36" t="inlineStr">
        <is>
          <t>Confirm</t>
        </is>
      </c>
    </row>
    <row r="23" ht="34" customHeight="1">
      <c r="A23" s="15" t="n">
        <v>19</v>
      </c>
      <c r="B23" s="35" t="inlineStr">
        <is>
          <t>Completeness / Nulls</t>
        </is>
      </c>
      <c r="C23" s="5" t="inlineStr">
        <is>
          <t>De-policied scenarios have no feeding data</t>
        </is>
      </c>
      <c r="D23" s="5" t="inlineStr">
        <is>
          <t>IRUP150 / USDN20 / USUP20 (legacy Excel)</t>
        </is>
      </c>
      <c r="E23" s="5" t="inlineStr">
        <is>
          <t>In the old wide sheet these were broken/blank columns dragged along.</t>
        </is>
      </c>
      <c r="F23" s="5" t="inlineStr">
        <is>
          <t>In the model they simply don't appear as scenario rows — problem disappears.</t>
        </is>
      </c>
      <c r="G23" s="29" t="inlineStr">
        <is>
          <t>Handled</t>
        </is>
      </c>
    </row>
    <row r="24" ht="49" customHeight="1">
      <c r="A24" s="15" t="n">
        <v>20</v>
      </c>
      <c r="B24" s="37" t="inlineStr">
        <is>
          <t>Modeling / Aggregation</t>
        </is>
      </c>
      <c r="C24" s="5" t="inlineStr">
        <is>
          <t>Two-step roll-up required (SUM scenarios per CP, then MAX)</t>
        </is>
      </c>
      <c r="D24" s="5" t="inlineStr">
        <is>
          <t>Level-1 view</t>
        </is>
      </c>
      <c r="E24" s="5" t="inlineStr">
        <is>
          <t>Summing each line's OWN worst scenario overstates (lines peak in different scenarios): 0.6% OTC / 0.2% SFT.</t>
        </is>
      </c>
      <c r="F24" s="5" t="inlineStr">
        <is>
          <t>STEP1 SUM each scenario across lines, STEP2 GREATEST. Naive version kept only as a debug column.</t>
        </is>
      </c>
      <c r="G24" s="29" t="inlineStr">
        <is>
          <t>Handled</t>
        </is>
      </c>
    </row>
    <row r="25" ht="49" customHeight="1">
      <c r="A25" s="15" t="n">
        <v>21</v>
      </c>
      <c r="B25" s="37" t="inlineStr">
        <is>
          <t>Modeling / Aggregation</t>
        </is>
      </c>
      <c r="C25" s="5" t="inlineStr">
        <is>
          <t>Two ratings -&gt; two limits -&gt; two utilisations</t>
        </is>
      </c>
      <c r="D25" s="5" t="inlineStr">
        <is>
          <t>td_account_rating (obligor) vs worst_line_rating</t>
        </is>
      </c>
      <c r="E25" s="5" t="inlineStr">
        <is>
          <t>Ambiguous which utilisation is the official breach measure; they can disagree materially.</t>
        </is>
      </c>
      <c r="F25" s="5" t="inlineStr">
        <is>
          <t>Carry both + rating_mismatch flag. Official measure pending business ratification.</t>
        </is>
      </c>
      <c r="G25" s="33" t="inlineStr">
        <is>
          <t>Open</t>
        </is>
      </c>
    </row>
    <row r="26" ht="49" customHeight="1">
      <c r="A26" s="15" t="n">
        <v>22</v>
      </c>
      <c r="B26" s="37" t="inlineStr">
        <is>
          <t>Modeling / Aggregation</t>
        </is>
      </c>
      <c r="C26" s="5" t="inlineStr">
        <is>
          <t>Worst-rating roll-up uses MAX() on a rating STRING</t>
        </is>
      </c>
      <c r="D26" s="5" t="inlineStr">
        <is>
          <t>cp_rated · worst_line_rating</t>
        </is>
      </c>
      <c r="E26" s="5" t="inlineStr">
        <is>
          <t>String sort may not equal notch severity, so MAX could pick the LESS severe rating.</t>
        </is>
      </c>
      <c r="F26" s="5" t="inlineStr">
        <is>
          <t>Eyeball a known name; flip to MIN if the notch scale sorts the other way.</t>
        </is>
      </c>
      <c r="G26" s="31" t="inlineStr">
        <is>
          <t>Watch</t>
        </is>
      </c>
    </row>
    <row r="27" ht="49" customHeight="1">
      <c r="A27" s="15" t="n">
        <v>23</v>
      </c>
      <c r="B27" s="37" t="inlineStr">
        <is>
          <t>Modeling / Aggregation</t>
        </is>
      </c>
      <c r="C27" s="5" t="inlineStr">
        <is>
          <t>Join on `line` alone fans out</t>
        </is>
      </c>
      <c r="D27" s="5" t="inlineStr">
        <is>
          <t>clients_report (1 wide row/CP) x lines_report (line x line_type)</t>
        </is>
      </c>
      <c r="E27" s="5" t="inlineStr">
        <is>
          <t>1 client row matches every line-type row -&gt; inflated counts and 8000%+ utilisation.</t>
        </is>
      </c>
      <c r="F27" s="5" t="inlineStr">
        <is>
          <t>Unpivot clients to line+line_type (vw_clients_lines) and join on BOTH keys.</t>
        </is>
      </c>
      <c r="G27" s="29" t="inlineStr">
        <is>
          <t>Handled</t>
        </is>
      </c>
    </row>
    <row r="28" ht="64" customHeight="1">
      <c r="A28" s="15" t="n">
        <v>24</v>
      </c>
      <c r="B28" s="37" t="inlineStr">
        <is>
          <t>Modeling / Aggregation</t>
        </is>
      </c>
      <c r="C28" s="5" t="inlineStr">
        <is>
          <t>Util fallback denominator mixes semantics</t>
        </is>
      </c>
      <c r="D28" s="5" t="inlineStr">
        <is>
          <t>vw_ast_breach_report · Stress_Credit_Utilization</t>
        </is>
      </c>
      <c r="E28" s="5" t="inlineStr">
        <is>
          <t>When limit is 0/null it divides by Standard_Exposure — that's stress-vs-standard, not utilisation, under the same column.</t>
        </is>
      </c>
      <c r="F28" s="5" t="inlineStr">
        <is>
          <t>Acceptable as a fallback; flag rows that used it if the distinction matters downstream.</t>
        </is>
      </c>
      <c r="G28" s="31" t="inlineStr">
        <is>
          <t>Watch</t>
        </is>
      </c>
    </row>
    <row r="29" ht="49" customHeight="1">
      <c r="A29" s="15" t="n">
        <v>25</v>
      </c>
      <c r="B29" s="37" t="inlineStr">
        <is>
          <t>Modeling / Aggregation</t>
        </is>
      </c>
      <c r="C29" s="5" t="inlineStr">
        <is>
          <t>asts dedupe assumes Max_*/flags are line-level rollups</t>
        </is>
      </c>
      <c r="D29" s="5" t="inlineStr">
        <is>
          <t>asts · ROW_NUMBER ORDER BY Max_Scenario_Exposure DESC</t>
        </is>
      </c>
      <c r="E29" s="5" t="inlineStr">
        <is>
          <t>If those columns actually vary per scenario row, keeping the max-exposure row could mismatch the breach.</t>
        </is>
      </c>
      <c r="F29" s="5" t="inlineStr">
        <is>
          <t>Confirm Max_*/breach flags are constant across a line's scenario rows (they read as rollups).</t>
        </is>
      </c>
      <c r="G29" s="36" t="inlineStr">
        <is>
          <t>Confirm</t>
        </is>
      </c>
    </row>
    <row r="30" ht="79" customHeight="1">
      <c r="A30" s="15" t="n">
        <v>26</v>
      </c>
      <c r="B30" s="38" t="inlineStr">
        <is>
          <t>Presentation (Strategy)</t>
        </is>
      </c>
      <c r="C30" s="5" t="inlineStr">
        <is>
          <t>Utilisation displayed as 813,760%</t>
        </is>
      </c>
      <c r="D30" s="5" t="inlineStr">
        <is>
          <t>Strategy metric typing</t>
        </is>
      </c>
      <c r="E30" s="5" t="inlineStr">
        <is>
          <t>Metric typed Percentage multiplies by 100 when the value is already a percent.</t>
        </is>
      </c>
      <c r="F30" s="5" t="inlineStr">
        <is>
          <t>OLD view: value was already x100 -&gt; custom format 0.0"%". NEW view stores a RATIO (1.94) -&gt; use true Percentage. Conventions are OPPOSITE; don't carry the old format over.</t>
        </is>
      </c>
      <c r="G30" s="31" t="inlineStr">
        <is>
          <t>Watch</t>
        </is>
      </c>
    </row>
    <row r="31" ht="49" customHeight="1">
      <c r="A31" s="15" t="n">
        <v>27</v>
      </c>
      <c r="B31" s="38" t="inlineStr">
        <is>
          <t>Presentation (Strategy)</t>
        </is>
      </c>
      <c r="C31" s="5" t="inlineStr">
        <is>
          <t>Wrong default aggregation in the grid</t>
        </is>
      </c>
      <c r="D31" s="5" t="inlineStr">
        <is>
          <t>Strategy</t>
        </is>
      </c>
      <c r="E31" s="5" t="inlineStr">
        <is>
          <t>Limits and ratios summed give nonsense; ranks summed too.</t>
        </is>
      </c>
      <c r="F31" s="5" t="inlineStr">
        <is>
          <t>Stress/MTM = Sum; Limit &amp; Utilisation = Max; Rank = Min. True sector util = Sum(stress)/Sum(limit) compound.</t>
        </is>
      </c>
      <c r="G31" s="29" t="inlineStr">
        <is>
          <t>Handled</t>
        </is>
      </c>
    </row>
    <row r="32" ht="49" customHeight="1">
      <c r="A32" s="15" t="n">
        <v>28</v>
      </c>
      <c r="B32" s="38" t="inlineStr">
        <is>
          <t>Presentation (Strategy)</t>
        </is>
      </c>
      <c r="C32" s="5" t="inlineStr">
        <is>
          <t>_MM-named columns hold raw values</t>
        </is>
      </c>
      <c r="D32" s="5" t="inlineStr">
        <is>
          <t>MTM_MM · Stress_PFE_MM · Standard_PFE_MM</t>
        </is>
      </c>
      <c r="E32" s="5" t="inlineStr">
        <is>
          <t>Named as millions but not divided by 1e6 — risk of a 1,000,000x display error downstream.</t>
        </is>
      </c>
      <c r="F32" s="5" t="inlineStr">
        <is>
          <t>Either divide by 1e6 in the view or drop the _MM suffix. Decide one convention.</t>
        </is>
      </c>
      <c r="G32" s="31" t="inlineStr">
        <is>
          <t>Watch</t>
        </is>
      </c>
    </row>
    <row r="33" ht="49" customHeight="1">
      <c r="A33" s="15" t="n">
        <v>29</v>
      </c>
      <c r="B33" s="39" t="inlineStr">
        <is>
          <t>Provenance</t>
        </is>
      </c>
      <c r="C33" s="5" t="inlineStr">
        <is>
          <t>DDL &amp; spec transcribed from phone photos</t>
        </is>
      </c>
      <c r="D33" s="5" t="inlineStr">
        <is>
          <t>xvala_create_tables.sql · spec images</t>
        </is>
      </c>
      <c r="E33" s="5" t="inlineStr">
        <is>
          <t>Blurry areas can carry typos; e.g. 0_3_mo_Excess_Breach was missing from the photo but exists live.</t>
        </is>
      </c>
      <c r="F33" s="5" t="inlineStr">
        <is>
          <t>Spot-check column names/comments against the live catalog before prod.</t>
        </is>
      </c>
      <c r="G33" s="31" t="inlineStr">
        <is>
          <t>Watch</t>
        </is>
      </c>
    </row>
    <row r="34" ht="49" customHeight="1">
      <c r="A34" s="15" t="n">
        <v>30</v>
      </c>
      <c r="B34" s="39" t="inlineStr">
        <is>
          <t>Provenance</t>
        </is>
      </c>
      <c r="C34" s="5" t="inlineStr">
        <is>
          <t>Built on dev03 test_ tables</t>
        </is>
      </c>
      <c r="D34" s="5" t="inlineStr">
        <is>
          <t>test_ats_summary · test_lines_report</t>
        </is>
      </c>
      <c r="E34" s="5" t="inlineStr">
        <is>
          <t>Dashboard logic depends on dev copies that may diverge from prod ats_summary / lines_report.</t>
        </is>
      </c>
      <c r="F34" s="5" t="inlineStr">
        <is>
          <t>Confirm test_ tables are the intended source for this build, or repoint to prod.</t>
        </is>
      </c>
      <c r="G34" s="36" t="inlineStr">
        <is>
          <t>Confirm</t>
        </is>
      </c>
    </row>
    <row r="35" ht="154" customHeight="1">
      <c r="A35" s="40" t="n">
        <v>31</v>
      </c>
      <c r="B35" s="41" t="inlineStr">
        <is>
          <t>Modeling / Aggregation</t>
        </is>
      </c>
      <c r="C35" s="42" t="inlineStr">
        <is>
          <t>Level-1 and Level-2 utilisation don't tie exactly — numerator differs</t>
        </is>
      </c>
      <c r="D35" s="42" t="inlineStr">
        <is>
          <t>vw_cp_stress_hist_demo (Level-1) vs vw_ast_breach_report (Level-2)</t>
        </is>
      </c>
      <c r="E35" s="42" t="inlineStr">
        <is>
          <t>Both now share the SAME asts bucket-matched limit (denominator reconciles). But Level-1 stress = the correct TWO-STEP (sum each scenario across a CP's lines, then GREATEST), while the breach list sums each line's OWN max scenario (naive). Same CP can read a slightly different utilisation on the radar vs the breach grid — looks like a bug to a first-time reviewer.</t>
        </is>
      </c>
      <c r="F35" s="42" t="inlineStr">
        <is>
          <t>BY DESIGN, not an error. Gap is the validated 0.6% (OTC) / 0.2% (SFT) overstatement of the naive roll-up. Denominator + OTC/SFT scope now aligned; only the numerator definition differs. Document on both visuals so the small delta isn't chased.</t>
        </is>
      </c>
      <c r="G35" s="43" t="inlineStr">
        <is>
          <t>Watch</t>
        </is>
      </c>
    </row>
    <row r="36" ht="169" customHeight="1">
      <c r="A36" s="40" t="n">
        <v>32</v>
      </c>
      <c r="B36" s="41" t="inlineStr">
        <is>
          <t>Modeling / Aggregation</t>
        </is>
      </c>
      <c r="C36" s="42" t="inlineStr">
        <is>
          <t>Two different definitions of 'breach' — official flag vs utilisation &gt; 100%</t>
        </is>
      </c>
      <c r="D36" s="42" t="inlineStr">
        <is>
          <t>asts.*_Excess_Breach (breach list) vs utilization&gt;=1.0 (portfolio radar)</t>
        </is>
      </c>
      <c r="E36" s="42" t="inlineStr">
        <is>
          <t>Breach LIST membership = the official Excess_Breach FLAG (two-condition test with a rating-based buffer, computed upstream). The portfolio radar's 'breaching' quadrant uses raw utilisation &gt;= 1.0 (stress/limit). These overlap but are NOT identical: a name can read &gt;100% utilisation yet NOT be an official breach (still inside the buffer). So 'breach list = counterparty list filtered to util&gt;100%' is subtly wrong.</t>
        </is>
      </c>
      <c r="F36" s="42" t="inlineStr">
        <is>
          <t>Decide the canonical 'breaching' definition for the radar. To make the breach list literally a filtered subset of the portfolio (single line-grain spine), carry the Excess_Breach flag onto the portfolio view and key the radar off the flag, not raw utilisation. Until then, document that the two populations differ.</t>
        </is>
      </c>
      <c r="G36" s="48" t="inlineStr">
        <is>
          <t>Open</t>
        </is>
      </c>
    </row>
    <row r="37" ht="120" customHeight="1">
      <c r="A37" s="40" t="n">
        <v>33</v>
      </c>
      <c r="B37" s="41" t="inlineStr">
        <is>
          <t>Modeling / Architecture</t>
        </is>
      </c>
      <c r="C37" s="42" t="inlineStr">
        <is>
          <t>Duplicated logic across portfolio + breach views — no shared baseline (spine)</t>
        </is>
      </c>
      <c r="D37" s="42" t="inlineStr">
        <is>
          <t>portfolio_aggregation_v4.sql AND vw_ast_breach_report_v7.sql</t>
        </is>
      </c>
      <c r="E37" s="42" t="inlineStr">
        <is>
          <t>Both views independently re-compute the bucket-matched limit (CASE Max_Exp_Time_Bucket ladder), utilisation ratio, entity parse, rating/NIG strip. Same logic written twice -&gt; can DRIFT (one fixed, other not) -&gt; the two stop reconciling silently.</t>
        </is>
      </c>
      <c r="F37" s="42" t="inlineStr">
        <is>
          <t>Refactor to a single LINE-GRAIN SPINE view computing this logic ONCE: every facility/line with exposure, bucket-matched limit, utilisation, breach flag, dims. Then breach = spine WHERE breach flag; portfolio = spine aggregated to counterparty. One baseline + two derivations.</t>
        </is>
      </c>
      <c r="G37" s="48" t="inlineStr">
        <is>
          <t>Open</t>
        </is>
      </c>
    </row>
    <row r="38" ht="120" customHeight="1">
      <c r="A38" s="40" t="n">
        <v>34</v>
      </c>
      <c r="B38" s="41" t="inlineStr">
        <is>
          <t>Requirements / Architecture</t>
        </is>
      </c>
      <c r="C38" s="42" t="inlineStr">
        <is>
          <t>REQ: facility-counterparty view must have the SAME STRUCTURE as the breach report</t>
        </is>
      </c>
      <c r="D38" s="42" t="inlineStr">
        <is>
          <t>new requirement (target design)</t>
        </is>
      </c>
      <c r="E38" s="42" t="inlineStr">
        <is>
          <t>Facility (line) x counterparty view = breach-report column shape + grain, but UNFILTERED (all facilities, not just breaches). This makes the breach-report row shape the CANONICAL line-grain structure.</t>
        </is>
      </c>
      <c r="F38" s="42" t="inlineStr">
        <is>
          <t>The facility-counterparty view IS the spine (n+33): line grain, breach-report structure, no breach filter. breach report = spine WHERE Excess_Breach=TRUE; portfolio = spine aggregated to counterparty. Resolves the duplication: one spine, two derivations, shared structure by construction.</t>
        </is>
      </c>
      <c r="G38" s="48" t="inlineStr">
        <is>
          <t>Open</t>
        </is>
      </c>
    </row>
    <row r="39" ht="90" customHeight="1">
      <c r="A39" s="45" t="n">
        <v>35</v>
      </c>
      <c r="B39" s="41" t="inlineStr">
        <is>
          <t>Requirements / Conformance</t>
        </is>
      </c>
      <c r="C39" s="42" t="inlineStr">
        <is>
          <t>REQ 1.1 Industry must be 5 mapped sectors (HF=SIC 7298)</t>
        </is>
      </c>
      <c r="D39" s="42" t="inlineStr">
        <is>
          <t>portfolio v5 / breach v8</t>
        </is>
      </c>
      <c r="E39" s="42" t="inlineStr">
        <is>
          <t>Portfolio cannot resolve HF (no sic_code on ats_summary); breach v8 can. Sector mapping differs between the two levels.</t>
        </is>
      </c>
      <c r="F39" s="42" t="inlineStr">
        <is>
          <t>Portfolio best-effort text map, HF flagged. Unify by giving portfolio sic_code (join test_ats_summary or source add).</t>
        </is>
      </c>
      <c r="G39" s="60" t="inlineStr">
        <is>
          <t>Open</t>
        </is>
      </c>
    </row>
    <row r="40" ht="90" customHeight="1">
      <c r="A40" s="45" t="n">
        <v>36</v>
      </c>
      <c r="B40" s="41" t="inlineStr">
        <is>
          <t>Requirements / Conformance</t>
        </is>
      </c>
      <c r="C40" s="42" t="inlineStr">
        <is>
          <t>Display-hygiene filters (Stress&gt;0, Limit&gt;1) are NOT in the email</t>
        </is>
      </c>
      <c r="D40" s="42" t="inlineStr">
        <is>
          <t>dashboard</t>
        </is>
      </c>
      <c r="E40" s="42" t="inlineStr">
        <is>
          <t>Risk of drifting from rqts if treated as requirements. They are additive; the 5 email filters are the baseline.</t>
        </is>
      </c>
      <c r="F40" s="42" t="inlineStr">
        <is>
          <t>Keep hygiene filters at dashboard layer separate from the 5 required filters. Surface excluded (limit=1) names as a count.</t>
        </is>
      </c>
      <c r="G40" s="61" t="inlineStr">
        <is>
          <t>Watch</t>
        </is>
      </c>
    </row>
    <row r="41" ht="110" customHeight="1">
      <c r="A41" s="45" t="n">
        <v>37</v>
      </c>
      <c r="B41" s="41" t="inlineStr">
        <is>
          <t>Data Concern / Completeness</t>
        </is>
      </c>
      <c r="C41" s="42" t="inlineStr">
        <is>
          <t>Limit_Amount = 1 (or 2) is a SOURCE placeholder, not a real limit</t>
        </is>
      </c>
      <c r="D41" s="42" t="inlineStr">
        <is>
          <t>asts Limit_* -&gt; portfolio limit_amt, breach Limit_Amount, utilization</t>
        </is>
      </c>
      <c r="E41" s="42" t="inlineStr">
        <is>
          <t>utilization = stress / 1 (or /2) = MILLIONS -&gt; blows up the trajectory X-axis and any compound Sum(stress)/Sum(limit). A handful of placeholder rows distort portfolio-level utilisation.</t>
        </is>
      </c>
      <c r="F41" s="42" t="inlineStr">
        <is>
          <t>Dashboard: filter Limit Amount &gt; 1 (really &gt; a small floor, e.g. &gt;2) for display. These rows are a FINDING (exposure, no real limit) -&gt; surface as an excluded-count, not silently dropped. Root fix: source should load real limits or a documented NULL, never 1/2.</t>
        </is>
      </c>
      <c r="G41" s="60" t="inlineStr">
        <is>
          <t>Open</t>
        </is>
      </c>
    </row>
    <row r="42" ht="110" customHeight="1">
      <c r="A42" s="45" t="n">
        <v>38</v>
      </c>
      <c r="B42" s="41" t="inlineStr">
        <is>
          <t>Dependency / Completeness</t>
        </is>
      </c>
      <c r="C42" s="42" t="inlineStr">
        <is>
          <t>Portfolio depends on ats_summary which is MISSING No_Line_Indicator + sic_code</t>
        </is>
      </c>
      <c r="D42" s="42" t="inlineStr">
        <is>
          <t>vw_asts_portfolio_cp_stress &lt;- ats_summary</t>
        </is>
      </c>
      <c r="E42" s="42" t="inlineStr">
        <is>
          <t>Two required things are not on ats_summary: (1) No_Line_Indicator (107 no-line lines confirmed leaked in) -&gt; population not clean; (2) sic_code -&gt; Hedge Funds (REQ1.1) unresolvable. Both force a join back to asts / test_ats_summary.</t>
        </is>
      </c>
      <c r="F42" s="42" t="inlineStr">
        <is>
          <t>v6: anti-join asts on No_Line_Indicator=TRUE (drop the 107, mirror breach report); join test_ats_summary for sic_code (HF=7298). Long-term: have the ats_summary build carry No_Line_Indicator + sic_code so consumers do not re-derive.</t>
        </is>
      </c>
      <c r="G42" s="60" t="inlineStr">
        <is>
          <t>Open</t>
        </is>
      </c>
    </row>
    <row r="43" ht="120" customHeight="1">
      <c r="A43" s="45" t="n">
        <v>39</v>
      </c>
      <c r="B43" s="41" t="inlineStr">
        <is>
          <t>Data Hazard / Join</t>
        </is>
      </c>
      <c r="C43" s="42" t="inlineStr">
        <is>
          <t>DATATYPE + FORMAT MISMATCH: asts/ats_summary store business_date as STRING yyyymmdd; test_/lines tables store it as DATE (renders yyyy-mm-dd).</t>
        </is>
      </c>
      <c r="D43" s="42" t="inlineStr">
        <is>
          <t>portfolio v6 + breach v7/v8/v9 joins to test_ats_summary</t>
        </is>
      </c>
      <c r="E43" s="42" t="inlineStr">
        <is>
          <t>Joining/filtering test_ats_summary with "20260430" matched 0 rows -&gt; sic_code, sic_industry, brr, industry all NULL -&gt; Hedge Funds never appeared AND breach-report SIC/Rating coverage was silently degraded. test_lines_report already needed "2026-04-30" (was correct) so the breach view was internally inconsistent.</t>
        </is>
      </c>
      <c r="F43" s="42" t="inlineStr">
        <is>
          <t>FIXED (datatype-agnostic): every business_date join/filter in portfolio v6 + breach v9 now uses regexp_replace(CAST(business_date AS STRING),"-","") -&gt; canonical yyyymmdd. Survives a datatype change on EITHER side (STRING-yyyymmdd / STRING-yyyy-mm-dd / DATE all normalize). RULE: never compare business_date raw across tables; always normalize. Re-validate breach SIC/Rating coverage after deploy.</t>
        </is>
      </c>
      <c r="G43" s="66" t="inlineStr">
        <is>
          <t>Handled</t>
        </is>
      </c>
    </row>
    <row r="44" ht="100" customHeight="1">
      <c r="A44" s="45" t="n">
        <v>40</v>
      </c>
      <c r="B44" s="41" t="inlineStr">
        <is>
          <t>Data Concern / Completeness</t>
        </is>
      </c>
      <c r="C44" s="42" t="inlineStr">
        <is>
          <t>SIC coverage ~50% on breach set (66/132 after date-join fix)</t>
        </is>
      </c>
      <c r="D44" s="42" t="inlineStr">
        <is>
          <t>test_ats_summary.sic_code / sic_industry -&gt; breach Sector, portfolio HF map</t>
        </is>
      </c>
      <c r="E44" s="42" t="inlineStr">
        <is>
          <t>Join is now correct (66/132, up from 60; Hedge Funds confirmed present). Remaining ~half of breached lines have NULL sic_code -&gt; they fall to the ELSE branch = Corporates, even if truly Banks/Govt/HF. Sector accuracy is BOUNDED by source SIC coverage, not by the view.</t>
        </is>
      </c>
      <c r="F44" s="42" t="inlineStr">
        <is>
          <t>Not a view bug — source completeness. Flag to business: fuller sic_code population on test_ats_summary (or the clients source) needed for complete sector/HF classification. View already maps everything available; nulls -&gt; Corporates by design.</t>
        </is>
      </c>
      <c r="G44" s="61" t="inlineStr">
        <is>
          <t>Watch</t>
        </is>
      </c>
    </row>
    <row r="45"/>
    <row r="46">
      <c r="A46" s="20" t="inlineStr">
        <is>
          <t>Status tally:</t>
        </is>
      </c>
      <c r="B46" s="33" t="inlineStr">
        <is>
          <t>Open: 11</t>
        </is>
      </c>
      <c r="C46" s="36" t="inlineStr">
        <is>
          <t>Confirm: 3</t>
        </is>
      </c>
      <c r="D46" s="31" t="inlineStr">
        <is>
          <t>Watch: 12</t>
        </is>
      </c>
      <c r="E46" s="29" t="inlineStr">
        <is>
          <t>Handled: 14</t>
        </is>
      </c>
    </row>
  </sheetData>
  <autoFilter ref="A4:G36"/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34" customWidth="1" min="4" max="4"/>
    <col width="11" customWidth="1" min="5" max="5"/>
    <col width="40" customWidth="1" min="6" max="6"/>
  </cols>
  <sheetData>
    <row r="1" ht="30" customHeight="1">
      <c r="A1" s="45" t="inlineStr">
        <is>
          <t>Requirements Tally — Tia's email (Level 1 Portfolio / Level 2 Facility / Level 3 Line). Keep aligned: required fields+filters = baseline; out-of-box (trajectory/fingerprint) sits ON TOP.</t>
        </is>
      </c>
    </row>
    <row r="2">
      <c r="A2" s="54" t="inlineStr">
        <is>
          <t>Req #</t>
        </is>
      </c>
      <c r="B2" s="54" t="inlineStr">
        <is>
          <t>Requirement (from email)</t>
        </is>
      </c>
      <c r="C2" s="54" t="inlineStr">
        <is>
          <t>Where it lives</t>
        </is>
      </c>
      <c r="D2" s="54" t="inlineStr">
        <is>
          <t>Satisfied by (view · column)</t>
        </is>
      </c>
      <c r="E2" s="54" t="inlineStr">
        <is>
          <t>Status</t>
        </is>
      </c>
      <c r="F2" s="54" t="inlineStr">
        <is>
          <t>Gap / next step</t>
        </is>
      </c>
    </row>
    <row r="3" ht="46" customHeight="1">
      <c r="A3" s="55" t="inlineStr">
        <is>
          <t>1.1</t>
        </is>
      </c>
      <c r="B3" s="56" t="inlineStr">
        <is>
          <t>Portfolio: Stress PFE by Industry = 5 mapped sectors (HF=SIC 7298; else Financial/Banks/Government -&gt; Corporates)</t>
        </is>
      </c>
      <c r="C3" s="56" t="inlineStr">
        <is>
          <t>Portfolio</t>
        </is>
      </c>
      <c r="D3" s="56" t="inlineStr">
        <is>
          <t>portfolio v6 · industry (5 buckets, in place)</t>
        </is>
      </c>
      <c r="E3" s="58" t="inlineStr">
        <is>
          <t>DONE</t>
        </is>
      </c>
      <c r="F3" s="56" t="inlineStr">
        <is>
          <t>FIXED: dropped dup sector; industry now 5 buckets; HF=7298 via test_ats_summary join. Dependency on test_ats_summary logged.</t>
        </is>
      </c>
    </row>
    <row r="4" ht="46" customHeight="1">
      <c r="A4" s="55" t="inlineStr">
        <is>
          <t>1.1</t>
        </is>
      </c>
      <c r="B4" s="56" t="inlineStr">
        <is>
          <t>Portfolio: split OTC / SFT</t>
        </is>
      </c>
      <c r="C4" s="56" t="inlineStr">
        <is>
          <t>Portfolio</t>
        </is>
      </c>
      <c r="D4" s="56" t="inlineStr">
        <is>
          <t>portfolio v5 · otc_sft (page filter)</t>
        </is>
      </c>
      <c r="E4" s="58" t="inlineStr">
        <is>
          <t>DONE</t>
        </is>
      </c>
      <c r="F4" s="56" t="inlineStr">
        <is>
          <t>Page-by toggle on dashboard.</t>
        </is>
      </c>
    </row>
    <row r="5" ht="46" customHeight="1">
      <c r="A5" s="55" t="inlineStr">
        <is>
          <t>1.1</t>
        </is>
      </c>
      <c r="B5" s="56" t="inlineStr">
        <is>
          <t>Portfolio: by Entity (4-digit SCREAM line code)</t>
        </is>
      </c>
      <c r="C5" s="56" t="inlineStr">
        <is>
          <t>Portfolio</t>
        </is>
      </c>
      <c r="D5" s="56" t="inlineStr">
        <is>
          <t>portfolio v5 · entity (parsed)</t>
        </is>
      </c>
      <c r="E5" s="58" t="inlineStr">
        <is>
          <t>DONE</t>
        </is>
      </c>
      <c r="F5" s="56" t="inlineStr">
        <is>
          <t>regexp first ( ) token. Wrong td_sub column avoided.</t>
        </is>
      </c>
    </row>
    <row r="6" ht="46" customHeight="1">
      <c r="A6" s="55" t="inlineStr">
        <is>
          <t>1.1</t>
        </is>
      </c>
      <c r="B6" s="56" t="inlineStr">
        <is>
          <t>Portfolio: by BRR</t>
        </is>
      </c>
      <c r="C6" s="56" t="inlineStr">
        <is>
          <t>Portfolio</t>
        </is>
      </c>
      <c r="D6" s="56" t="inlineStr">
        <is>
          <t>portfolio v5 · brr_bucket</t>
        </is>
      </c>
      <c r="E6" s="58" t="inlineStr">
        <is>
          <t>DONE</t>
        </is>
      </c>
      <c r="F6" s="56" t="inlineStr">
        <is>
          <t>NIG/leading-digit/5+ bucketing.</t>
        </is>
      </c>
    </row>
    <row r="7" ht="46" customHeight="1">
      <c r="A7" s="55" t="inlineStr">
        <is>
          <t>2.1</t>
        </is>
      </c>
      <c r="B7" s="56" t="inlineStr">
        <is>
          <t>Facility view: ALL lines at line grain, stress PFE each</t>
        </is>
      </c>
      <c r="C7" s="56" t="inlineStr">
        <is>
          <t>Facility/Breach</t>
        </is>
      </c>
      <c r="D7" s="56" t="inlineStr">
        <is>
          <t>breach v8 (line grain) — facility = v8 minus breach filter</t>
        </is>
      </c>
      <c r="E7" s="57" t="inlineStr">
        <is>
          <t>PARTIAL</t>
        </is>
      </c>
      <c r="F7" s="56" t="inlineStr">
        <is>
          <t>Breach v8 = filtered. The unfiltered facility (all lines + flag) = the SPINE, still to build (matrix rows 33/34).</t>
        </is>
      </c>
    </row>
    <row r="8" ht="46" customHeight="1">
      <c r="A8" s="55" t="inlineStr">
        <is>
          <t>2.1.a</t>
        </is>
      </c>
      <c r="B8" s="56" t="inlineStr">
        <is>
          <t>Manual: Major Risk Driver / Recurring-New / Feedback</t>
        </is>
      </c>
      <c r="C8" s="56" t="inlineStr">
        <is>
          <t>Facility/Breach</t>
        </is>
      </c>
      <c r="D8" s="56" t="inlineStr">
        <is>
          <t>breach v8 · Major_Risk_Driver, Recurring_New, Feedback</t>
        </is>
      </c>
      <c r="E8" s="57" t="inlineStr">
        <is>
          <t>PARTIAL</t>
        </is>
      </c>
      <c r="F8" s="56" t="inlineStr">
        <is>
          <t>Recurring_New real; Driver+Feedback stubs (NULL) pending ats_dshbd_breach_commentary wire-up.</t>
        </is>
      </c>
    </row>
    <row r="9" ht="46" customHeight="1">
      <c r="A9" s="55" t="inlineStr">
        <is>
          <t>2.1.b</t>
        </is>
      </c>
      <c r="B9" s="56" t="inlineStr">
        <is>
          <t>IM + IA columns (from SCREAM)</t>
        </is>
      </c>
      <c r="C9" s="56" t="inlineStr">
        <is>
          <t>Facility/Breach</t>
        </is>
      </c>
      <c r="D9" s="56" t="inlineStr">
        <is>
          <t>breach v8 · IM, IA</t>
        </is>
      </c>
      <c r="E9" s="58" t="inlineStr">
        <is>
          <t>DONE</t>
        </is>
      </c>
      <c r="F9" s="56" t="inlineStr">
        <is>
          <t>IM=lines_report.initial_margin; IA=decomp max_usage_0_3_mo (product_group filter).</t>
        </is>
      </c>
    </row>
    <row r="10" ht="46" customHeight="1">
      <c r="A10" s="55" t="inlineStr">
        <is>
          <t>2.1.c</t>
        </is>
      </c>
      <c r="B10" s="56" t="inlineStr">
        <is>
          <t>OTC vs SFT column</t>
        </is>
      </c>
      <c r="C10" s="56" t="inlineStr">
        <is>
          <t>Facility/Breach</t>
        </is>
      </c>
      <c r="D10" s="56" t="inlineStr">
        <is>
          <t>breach v8 · Product_Type</t>
        </is>
      </c>
      <c r="E10" s="58" t="inlineStr">
        <is>
          <t>DONE</t>
        </is>
      </c>
      <c r="F10" s="56" t="inlineStr">
        <is>
          <t>ats_summary.otc_sft.</t>
        </is>
      </c>
    </row>
    <row r="11" ht="46" customHeight="1">
      <c r="A11" s="55" t="inlineStr">
        <is>
          <t>2.1.d</t>
        </is>
      </c>
      <c r="B11" s="56" t="inlineStr">
        <is>
          <t>Breach indicator (Y/N) on all lines</t>
        </is>
      </c>
      <c r="C11" s="56" t="inlineStr">
        <is>
          <t>Facility/Portfolio</t>
        </is>
      </c>
      <c r="D11" s="56" t="inlineStr">
        <is>
          <t>breach v8 (implicit) ; portfolio v5 · breaches_any</t>
        </is>
      </c>
      <c r="E11" s="58" t="inlineStr">
        <is>
          <t>DONE</t>
        </is>
      </c>
      <c r="F11" s="56" t="inlineStr">
        <is>
          <t>Portfolio v5 adds breaches_any so dashboard can filter-by-breaches at CP grain.</t>
        </is>
      </c>
    </row>
    <row r="12" ht="46" customHeight="1">
      <c r="A12" s="55" t="inlineStr">
        <is>
          <t>2.1</t>
        </is>
      </c>
      <c r="B12" s="56" t="inlineStr">
        <is>
          <t>Industry = mapped sector (5 buckets) on facility</t>
        </is>
      </c>
      <c r="C12" s="56" t="inlineStr">
        <is>
          <t>Facility/Breach</t>
        </is>
      </c>
      <c r="D12" s="56" t="inlineStr">
        <is>
          <t>breach v8 · Sector</t>
        </is>
      </c>
      <c r="E12" s="58" t="inlineStr">
        <is>
          <t>DONE</t>
        </is>
      </c>
      <c r="F12" s="56" t="inlineStr">
        <is>
          <t>HF=7298 resolvable here (sic_code on test_ats_summary). Granular Industry kept for display.</t>
        </is>
      </c>
    </row>
    <row r="13" ht="46" customHeight="1">
      <c r="A13" s="55" t="inlineStr">
        <is>
          <t>2.1</t>
        </is>
      </c>
      <c r="B13" s="56" t="inlineStr">
        <is>
          <t>Filters: breaches, industry, rating, line type, stress credit utilization</t>
        </is>
      </c>
      <c r="C13" s="56" t="inlineStr">
        <is>
          <t>Dashboard</t>
        </is>
      </c>
      <c r="D13" s="56" t="inlineStr">
        <is>
          <t>breach v8 cols all present</t>
        </is>
      </c>
      <c r="E13" s="57" t="inlineStr">
        <is>
          <t>TO WIRE</t>
        </is>
      </c>
      <c r="F13" s="56" t="inlineStr">
        <is>
          <t>Build these 5 as dashboard filters on the facility/breach grid.</t>
        </is>
      </c>
    </row>
    <row r="14" ht="46" customHeight="1">
      <c r="A14" s="55" t="inlineStr">
        <is>
          <t>2.1</t>
        </is>
      </c>
      <c r="B14" s="56" t="inlineStr">
        <is>
          <t>Drill: click counterparty / line code -&gt; exposure detail</t>
        </is>
      </c>
      <c r="C14" s="56" t="inlineStr">
        <is>
          <t>Dashboard</t>
        </is>
      </c>
      <c r="D14" s="56" t="inlineStr">
        <is>
          <t>linked attributes + selector</t>
        </is>
      </c>
      <c r="E14" s="57" t="inlineStr">
        <is>
          <t>TO WIRE</t>
        </is>
      </c>
      <c r="F14" s="56" t="inlineStr">
        <is>
          <t>Level-2 -&gt; Level-3 drill (Counterparty/Line linked).</t>
        </is>
      </c>
    </row>
    <row r="15" ht="46" customHeight="1">
      <c r="A15" s="55" t="inlineStr">
        <is>
          <t>relabel</t>
        </is>
      </c>
      <c r="B15" s="56" t="inlineStr">
        <is>
          <t>"Current Exposure"-&gt;Standard PFE ; "Stress Exposure"-&gt;Stress PFE</t>
        </is>
      </c>
      <c r="C15" s="56" t="inlineStr">
        <is>
          <t>All</t>
        </is>
      </c>
      <c r="D15" s="56" t="inlineStr">
        <is>
          <t>breach v8 · Standard_PFE_MM, Stress_PFE_MM ; portfolio · standard_pfe, stress_pfe</t>
        </is>
      </c>
      <c r="E15" s="58" t="inlineStr">
        <is>
          <t>DONE</t>
        </is>
      </c>
      <c r="F15" s="56" t="inlineStr">
        <is>
          <t>Naming already applied in views.</t>
        </is>
      </c>
    </row>
    <row r="16" ht="46" customHeight="1">
      <c r="A16" s="55" t="inlineStr">
        <is>
          <t>3</t>
        </is>
      </c>
      <c r="B16" s="56" t="inlineStr">
        <is>
          <t>Individual Line Tab: deals by asset class, hist max stress PFE, MTM/IM/IA, commentary</t>
        </is>
      </c>
      <c r="C16" s="56" t="inlineStr">
        <is>
          <t>Line (L3)</t>
        </is>
      </c>
      <c r="D16" s="56" t="inlineStr">
        <is>
          <t>pfe_deals_report (design only)</t>
        </is>
      </c>
      <c r="E16" s="59" t="inlineStr">
        <is>
          <t>NOT STARTED</t>
        </is>
      </c>
      <c r="F16" s="56" t="inlineStr">
        <is>
          <t>Level-3 tearsheet — future workstream.</t>
        </is>
      </c>
    </row>
    <row r="17" ht="46" customHeight="1">
      <c r="A17" s="55" t="inlineStr">
        <is>
          <t>4</t>
        </is>
      </c>
      <c r="B17" s="56" t="inlineStr">
        <is>
          <t>Override Function: Credit Analytics corrects data, flows to all dashboards</t>
        </is>
      </c>
      <c r="C17" s="56" t="inlineStr">
        <is>
          <t>Cross</t>
        </is>
      </c>
      <c r="D17" s="56" t="inlineStr">
        <is>
          <t>write-back table (ats_dshbd_breach_commentary + override)</t>
        </is>
      </c>
      <c r="E17" s="59" t="inlineStr">
        <is>
          <t>NOT STARTED</t>
        </is>
      </c>
      <c r="F17" s="56" t="inlineStr">
        <is>
          <t>Architecturally significant write-back workstream, not a column.</t>
        </is>
      </c>
    </row>
    <row r="18" ht="46" customHeight="1">
      <c r="A18" s="55" t="inlineStr">
        <is>
          <t>OOB</t>
        </is>
      </c>
      <c r="B18" s="56" t="inlineStr">
        <is>
          <t>Out-of-box: trajectory scatter (util x stress), scenario fingerprint, MoM</t>
        </is>
      </c>
      <c r="C18" s="56" t="inlineStr">
        <is>
          <t>Portfolio (on top)</t>
        </is>
      </c>
      <c r="D18" s="56" t="inlineStr">
        <is>
          <t>portfolio v5 · 8 cp_* + stress_pfe + limit_amt + utilization</t>
        </is>
      </c>
      <c r="E18" s="57" t="inlineStr">
        <is>
          <t>IN PROGRESS</t>
        </is>
      </c>
      <c r="F18" s="56" t="inlineStr">
        <is>
          <t>Sits ON TOP of required cuts. Single-date working; MoM when history loads.</t>
        </is>
      </c>
    </row>
    <row r="19" ht="46" customHeight="1">
      <c r="A19" s="55" t="inlineStr">
        <is>
          <t>OOB</t>
        </is>
      </c>
      <c r="B19" s="56" t="inlineStr">
        <is>
          <t>Display-hygiene filters: Stress PFE&gt;0 AND Limit Amount&gt;1</t>
        </is>
      </c>
      <c r="C19" s="56" t="inlineStr">
        <is>
          <t>Dashboard (on top)</t>
        </is>
      </c>
      <c r="D19" s="56" t="inlineStr">
        <is>
          <t>dashboard layer</t>
        </is>
      </c>
      <c r="E19" s="57" t="inlineStr">
        <is>
          <t>TO WIRE</t>
        </is>
      </c>
      <c r="F19" s="56" t="inlineStr">
        <is>
          <t>NOT in email — additive. limit=1 = placeholder anomaly (logged).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2026-06-26T18:33:51Z</dcterms:created>
  <dcterms:modified xmlns:dcterms="http://purl.org/dc/terms/" xmlns:xsi="http://www.w3.org/2001/XMLSchema-instance" xsi:type="dcterms:W3CDTF">2026-06-29T02:50:26Z</dcterms:modified>
</cp:coreProperties>
</file>