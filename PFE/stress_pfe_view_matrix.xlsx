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  <sheet xmlns:r="http://schemas.openxmlformats.org/officeDocument/2006/relationships" name="Requirements Tally" sheetId="5" state="visible" r:id="rId5"/>
  </sheets>
  <definedNames>
    <definedName name="_xlnm._FilterDatabase" localSheetId="0" hidden="1">'View Matrix'!$A$4:$G$11</definedName>
    <definedName name="_xlnm._FilterDatabase" localSheetId="1" hidden="1">'Join × business_date Audit'!$A$4:$I$23</definedName>
    <definedName name="_xlnm._FilterDatabase" localSheetId="2" hidden="1">'Base Tables'!$A$4:$F$15</definedName>
    <definedName name="_xlnm._FilterDatabase" localSheetId="3" hidden="1">'Data Anomalies &amp; Conformance'!$A$4:$G$36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  <font>
      <name val="Arial"/>
      <b val="1"/>
      <color rgb="00FFFFFF"/>
      <sz val="10"/>
    </font>
  </fonts>
  <fills count="23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  <fill>
      <patternFill patternType="solid">
        <fgColor rgb="00F3E0C8"/>
      </patternFill>
    </fill>
    <fill>
      <patternFill patternType="solid">
        <fgColor rgb="001F4E5F"/>
      </patternFill>
    </fill>
  </fills>
  <borders count="4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D7E0DB"/>
      </left>
      <right style="thin">
        <color rgb="00D7E0DB"/>
      </right>
      <top style="thin">
        <color rgb="00D7E0DB"/>
      </top>
      <bottom style="thin">
        <color rgb="00D7E0DB"/>
      </bottom>
    </border>
    <border>
      <left style="thin">
        <color rgb="00C8D2CC"/>
      </left>
      <right style="thin">
        <color rgb="00C8D2CC"/>
      </right>
      <top style="thin">
        <color rgb="00C8D2CC"/>
      </top>
      <bottom style="thin">
        <color rgb="00C8D2CC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4" fillId="15" borderId="0" applyAlignment="1" pivotButton="0" quotePrefix="0" xfId="0">
      <alignment horizontal="center" vertical="top" wrapText="1"/>
    </xf>
    <xf numFmtId="0" fontId="8" fillId="21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8" fillId="21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10" fillId="22" borderId="3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vertical="top" wrapText="1"/>
    </xf>
    <xf numFmtId="0" fontId="4" fillId="5" borderId="3" applyAlignment="1" pivotButton="0" quotePrefix="0" xfId="0">
      <alignment horizontal="center" vertical="top" wrapText="1"/>
    </xf>
    <xf numFmtId="0" fontId="4" fillId="4" borderId="3" applyAlignment="1" pivotButton="0" quotePrefix="0" xfId="0">
      <alignment horizontal="center" vertical="top" wrapText="1"/>
    </xf>
    <xf numFmtId="0" fontId="4" fillId="15" borderId="3" applyAlignment="1" pivotButton="0" quotePrefix="0" xfId="0">
      <alignment horizontal="center" vertical="top" wrapText="1"/>
    </xf>
    <xf numFmtId="0" fontId="4" fillId="15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5" fillId="0" borderId="3" applyAlignment="1" pivotButton="0" quotePrefix="0" xfId="0">
      <alignment horizontal="center" vertical="top" wrapText="1"/>
    </xf>
    <xf numFmtId="0" fontId="5" fillId="4" borderId="3" applyAlignment="1" pivotButton="0" quotePrefix="0" xfId="0">
      <alignment horizontal="center" vertical="top" wrapText="1"/>
    </xf>
    <xf numFmtId="0" fontId="5" fillId="5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50" customHeight="1">
      <c r="A5" s="4" t="inlineStr">
        <is>
          <t>vw_asts_portfolio_cp_stress</t>
        </is>
      </c>
      <c r="B5" s="5" t="inlineStr">
        <is>
          <t>portfolio_aggregation_v5.sql (v6 pending)</t>
        </is>
      </c>
      <c r="C5" s="6" t="inlineStr">
        <is>
          <t>CHANGED</t>
        </is>
      </c>
      <c r="D5" s="5" t="inlineStr">
        <is>
          <t>ats_summary (scenarios+dims, line grain) ; asts (bucket limit + breach flags + No_Line_Indicator). NOTE: ats_summary has NO No_Line_Indicator and NO sic_code — both must be sourced from asts / test_ats_summary.</t>
        </is>
      </c>
      <c r="E5" s="15" t="inlineStr">
        <is>
          <t>core
core</t>
        </is>
      </c>
      <c r="F5" s="5" t="inlineStr">
        <is>
          <t>v5: +sector(REQ1.1, HF gap) +breaches_any(REQ2.1.d). PENDING v6: No_Line_Indicator filter via anti-join to asts (107 no-line lines confirmed leaked into ats_summary — see Join Audit); HF sic_code 7298 override; otc_leg/sft_leg split.</t>
        </is>
      </c>
      <c r="G5" s="44" t="inlineStr">
        <is>
          <t>SAFE. business_date is a grain key (loads stack). The asts limit feed joins on line+business_date (date-aware). No hard date filter — exposes all loads; readers pick the date.</t>
        </is>
      </c>
    </row>
    <row r="6" ht="90" customHeight="1">
      <c r="A6" s="4" t="inlineStr">
        <is>
          <t>vw_cp_stress_hist_demo</t>
        </is>
      </c>
      <c r="B6" s="5" t="inlineStr">
        <is>
          <t>portfolio_aggregation_v2.sql</t>
        </is>
      </c>
      <c r="C6" s="12" t="inlineStr">
        <is>
          <t>SUPERSEDED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RETIRED in v4. History now lives in ats_summary/asts themselves, so fabrication is gone; limit_amt + utilization folded onto vw_asts_portfolio_cp_stress. DROP VIEW.</t>
        </is>
      </c>
      <c r="G6" s="10" t="inlineStr">
        <is>
          <t>Retired — n/a.</t>
        </is>
      </c>
    </row>
    <row r="7" ht="180" customHeight="1">
      <c r="A7" s="4" t="inlineStr">
        <is>
          <t>vw_ast_breach_report</t>
        </is>
      </c>
      <c r="B7" s="5" t="inlineStr">
        <is>
          <t>vw_ast_breach_report_v6.sql</t>
        </is>
      </c>
      <c r="C7" s="6" t="inlineStr">
        <is>
          <t>CHANGED</t>
        </is>
      </c>
      <c r="D7" s="5" t="inlineStr">
        <is>
          <t>asts  (FROM + prior-month compare)
test_ats_summary
test_lines_report
pfe_exp_decomp_report
ats_dshbd_breach_commentary  (pending)</t>
        </is>
      </c>
      <c r="E7" s="15" t="inlineStr">
        <is>
          <t>core
core
core
core-raw
core</t>
        </is>
      </c>
      <c r="F7" s="5" t="inlineStr">
        <is>
          <t>v6: + Recurring_New (real — compares vs the prior business_date in asts), + Major_Risk_Driver + Feedback (analyst write-back, STUBBED NULL with ready join — model structure complete). v5 carried IM/IA/Worst_Scenario/Rating-from-asts; homed in xvala_core-raw.</t>
        </is>
      </c>
      <c r="G7" s="10" t="inlineStr">
        <is>
          <t>Mostly SAFE. asts pinned to '20260430'; prior_breached reads the prior date dynamically (history-aware). test_ats_summary join date-filtered. (!) ats_dshbd_breach_commentary join is unbuilt — when wired, date-filter it or it fans out.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49" t="inlineStr">
        <is>
          <t>RETIRE?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Belonged to the retired vw_breach_list_cp; NOT referenced by current breach v7 or portfolio v4. Retire candidate — verify UC lineage (no downstream) before drop.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  <row r="12" ht="72" customHeight="1">
      <c r="A12" s="50" t="inlineStr">
        <is>
          <t>vw_asts_bucket_pivot</t>
        </is>
      </c>
      <c r="B12" s="51" t="inlineStr">
        <is>
          <t>—  (not in this build)</t>
        </is>
      </c>
      <c r="C12" s="52" t="inlineStr">
        <is>
          <t>RETIRE?</t>
        </is>
      </c>
      <c r="D12" s="51" t="inlineStr">
        <is>
          <t>(unknown — not read by current views)</t>
        </is>
      </c>
      <c r="E12" s="53" t="inlineStr">
        <is>
          <t>—</t>
        </is>
      </c>
      <c r="F12" s="51" t="inlineStr">
        <is>
          <t>NOT referenced by vw_asts_portfolio_cp_stress (v4) or vw_ast_breach_report (v7). No reference anywhere in the current product SQL. Retire candidate — verify UC Catalog Explorer lineage (downstream) before drop, in case another team reads it.</t>
        </is>
      </c>
      <c r="G12" s="51" t="inlineStr">
        <is>
          <t>n/a</t>
        </is>
      </c>
    </row>
    <row r="13" ht="72" customHeight="1">
      <c r="A13" s="50" t="inlineStr">
        <is>
          <t>vw_asts_client_line_report</t>
        </is>
      </c>
      <c r="B13" s="51" t="inlineStr">
        <is>
          <t>—  (not in this build)</t>
        </is>
      </c>
      <c r="C13" s="52" t="inlineStr">
        <is>
          <t>RETIRE?</t>
        </is>
      </c>
      <c r="D13" s="51" t="inlineStr">
        <is>
          <t>(unknown — not read by current views)</t>
        </is>
      </c>
      <c r="E13" s="53" t="inlineStr">
        <is>
          <t>—</t>
        </is>
      </c>
      <c r="F13" s="51" t="inlineStr">
        <is>
          <t>Same family as vw_clients_lines; NOT referenced by current breach v7 or portfolio v4. Breach client/line attributes come from test_ats_summary + test_lines_report instead. Retire candidate — verify UC lineage before drop.</t>
        </is>
      </c>
      <c r="G13" s="51" t="inlineStr">
        <is>
          <t>n/a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RETIRED</t>
        </is>
      </c>
      <c r="I6" s="5" t="inlineStr">
        <is>
          <t>Demo view dropped in v4.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7" t="inlineStr">
        <is>
          <t>RETIRED</t>
        </is>
      </c>
      <c r="I7" s="5" t="inlineStr">
        <is>
          <t>Demo view dropped in v4.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 ht="30" customHeight="1">
      <c r="A21" s="45" t="inlineStr">
        <is>
          <t>vw_asts_portfolio_cp_stress</t>
        </is>
      </c>
      <c r="B21" s="42" t="inlineStr">
        <is>
          <t>asts (+ ats_summary for otc_sft)</t>
        </is>
      </c>
      <c r="C21" s="40" t="inlineStr">
        <is>
          <t>table</t>
        </is>
      </c>
      <c r="D21" s="40" t="inlineStr">
        <is>
          <t>core</t>
        </is>
      </c>
      <c r="E21" s="42" t="inlineStr">
        <is>
          <t>LEFT JOIN (asts_lim)</t>
        </is>
      </c>
      <c r="F21" s="42" t="inlineStr">
        <is>
          <t>line + business_date</t>
        </is>
      </c>
      <c r="G21" s="42" t="inlineStr">
        <is>
          <t>Yes — joined on line AND business_date</t>
        </is>
      </c>
      <c r="H21" s="46" t="inlineStr">
        <is>
          <t>SAFE</t>
        </is>
      </c>
      <c r="I21" s="42" t="inlineStr">
        <is>
          <t>Date-aware; loads stack cleanly.</t>
        </is>
      </c>
    </row>
    <row r="22" ht="30" customHeight="1">
      <c r="A22" s="45" t="inlineStr">
        <is>
          <t>vw_ast_breach_report</t>
        </is>
      </c>
      <c r="E22" s="42" t="inlineStr">
        <is>
          <t>LEFT JOIN</t>
        </is>
      </c>
      <c r="F22" s="42" t="inlineStr">
        <is>
          <t>line</t>
        </is>
      </c>
      <c r="G22" s="42" t="inlineStr">
        <is>
          <t>Yes — prior = MAX(business_date) &lt; current (dynamic)</t>
        </is>
      </c>
      <c r="H22" s="46" t="inlineStr">
        <is>
          <t>SAFE</t>
        </is>
      </c>
      <c r="I22" s="42" t="inlineStr">
        <is>
          <t>Drives Recurring_New; history-aware.</t>
        </is>
      </c>
    </row>
    <row r="23" ht="30" customHeight="1">
      <c r="A23" s="45" t="inlineStr">
        <is>
          <t>vw_ast_breach_report</t>
        </is>
      </c>
      <c r="E23" s="42" t="inlineStr">
        <is>
          <t>LEFT JOIN (pending)</t>
        </is>
      </c>
      <c r="F23" s="42" t="inlineStr">
        <is>
          <t>line (+ date?)</t>
        </is>
      </c>
      <c r="G23" s="42" t="inlineStr">
        <is>
          <t>UNBUILT — stub today</t>
        </is>
      </c>
      <c r="H23" s="47" t="inlineStr">
        <is>
          <t>TBD</t>
        </is>
      </c>
      <c r="I23" s="42" t="inlineStr">
        <is>
          <t>When wired: date-filter or it fans out.</t>
        </is>
      </c>
    </row>
    <row r="24">
      <c r="A24" s="20" t="inlineStr">
        <is>
          <t>Legend:</t>
        </is>
      </c>
    </row>
    <row r="25">
      <c r="A25" s="21" t="inlineStr">
        <is>
          <t>SAFE — history-ready as written</t>
        </is>
      </c>
    </row>
    <row r="26">
      <c r="A26" s="22" t="inlineStr">
        <is>
          <t>SAFE* — safe but date is hardcoded; bump or parameterize monthly</t>
        </is>
      </c>
    </row>
    <row r="27">
      <c r="A27" s="23" t="inlineStr">
        <is>
          <t>UNSAFE — will fan out / break when prior loads arrive</t>
        </is>
      </c>
    </row>
    <row r="28">
      <c r="A28" s="24" t="inlineStr">
        <is>
          <t>DEMO / TBD / moot — see Action</t>
        </is>
      </c>
    </row>
    <row r="29" ht="64" customHeight="1">
      <c r="A29" s="62" t="inlineStr">
        <is>
          <t>vw_asts_portfolio_cp_stress</t>
        </is>
      </c>
      <c r="B29" s="56" t="inlineStr">
        <is>
          <t>ats_summary</t>
        </is>
      </c>
      <c r="C29" s="63" t="inlineStr">
        <is>
          <t>table</t>
        </is>
      </c>
      <c r="D29" s="56" t="inlineStr">
        <is>
          <t>xvala_core</t>
        </is>
      </c>
      <c r="E29" s="56" t="inlineStr">
        <is>
          <t>Read (scenario sums + dims)</t>
        </is>
      </c>
      <c r="F29" s="56" t="inlineStr">
        <is>
          <t>line + business_date</t>
        </is>
      </c>
      <c r="G29" s="63" t="inlineStr">
        <is>
          <t>Yes (GROUP BY business_date)</t>
        </is>
      </c>
      <c r="H29" s="64" t="inlineStr">
        <is>
          <t>Safe</t>
        </is>
      </c>
      <c r="I29" s="56" t="inlineStr">
        <is>
          <t>DEP: line-grain source. MISSING on this table: No_Line_Indicator AND sic_code -&gt; must come from asts / test_ats_summary.</t>
        </is>
      </c>
    </row>
    <row r="30" ht="64" customHeight="1">
      <c r="A30" s="62" t="inlineStr">
        <is>
          <t>vw_asts_portfolio_cp_stress</t>
        </is>
      </c>
      <c r="B30" s="56" t="inlineStr">
        <is>
          <t>asts</t>
        </is>
      </c>
      <c r="C30" s="63" t="inlineStr">
        <is>
          <t>table</t>
        </is>
      </c>
      <c r="D30" s="56" t="inlineStr">
        <is>
          <t>xvala_core</t>
        </is>
      </c>
      <c r="E30" s="56" t="inlineStr">
        <is>
          <t>Join (bucket limit, breach flags, No_Line_Indicator)</t>
        </is>
      </c>
      <c r="F30" s="56" t="inlineStr">
        <is>
          <t>Line + business_date</t>
        </is>
      </c>
      <c r="G30" s="63" t="inlineStr">
        <is>
          <t>Yes</t>
        </is>
      </c>
      <c r="H30" s="64" t="inlineStr">
        <is>
          <t>Safe</t>
        </is>
      </c>
      <c r="I30" s="65" t="inlineStr">
        <is>
          <t>CONFIRMED: 107 no-line lines (No_Line_Indicator=TRUE) leaked into ats_summary (11,804 lines, 0 unmatched). v6 must anti-join asts to drop them — same rule as breach report.</t>
        </is>
      </c>
    </row>
    <row r="31" ht="64" customHeight="1">
      <c r="A31" s="62" t="inlineStr">
        <is>
          <t>vw_asts_portfolio_cp_stress</t>
        </is>
      </c>
      <c r="B31" s="56" t="inlineStr">
        <is>
          <t>test_ats_summary</t>
        </is>
      </c>
      <c r="C31" s="63" t="inlineStr">
        <is>
          <t>table</t>
        </is>
      </c>
      <c r="D31" s="56" t="inlineStr">
        <is>
          <t>xvala_core</t>
        </is>
      </c>
      <c r="E31" s="56" t="inlineStr">
        <is>
          <t>Join (PENDING v6 — sic_code for HF=7298)</t>
        </is>
      </c>
      <c r="F31" s="56" t="inlineStr">
        <is>
          <t>Line + business_date</t>
        </is>
      </c>
      <c r="G31" s="63" t="inlineStr">
        <is>
          <t>Yes</t>
        </is>
      </c>
      <c r="H31" s="64" t="inlineStr">
        <is>
          <t>Safe</t>
        </is>
      </c>
      <c r="I31" s="65" t="inlineStr">
        <is>
          <t>NEEDED: portfolio cannot resolve Hedge Funds (REQ1.1) without sic_code; ats_summary lacks it. Join test_ats_summary or have source add sic_code.</t>
        </is>
      </c>
    </row>
  </sheetData>
  <autoFilter ref="A4:I23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 ; vw_asts_portfolio_cp_stress (limit)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vw_ast_breach_report (Major_Risk_Driver + Feedback — pending wire)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 ht="169" customHeight="1">
      <c r="A36" s="40" t="n">
        <v>32</v>
      </c>
      <c r="B36" s="41" t="inlineStr">
        <is>
          <t>Modeling / Aggregation</t>
        </is>
      </c>
      <c r="C36" s="42" t="inlineStr">
        <is>
          <t>Two different definitions of 'breach' — official flag vs utilisation &gt; 100%</t>
        </is>
      </c>
      <c r="D36" s="42" t="inlineStr">
        <is>
          <t>asts.*_Excess_Breach (breach list) vs utilization&gt;=1.0 (portfolio radar)</t>
        </is>
      </c>
      <c r="E36" s="42" t="inlineStr">
        <is>
          <t>Breach LIST membership = the official Excess_Breach FLAG (two-condition test with a rating-based buffer, computed upstream). The portfolio radar's 'breaching' quadrant uses raw utilisation &gt;= 1.0 (stress/limit). These overlap but are NOT identical: a name can read &gt;100% utilisation yet NOT be an official breach (still inside the buffer). So 'breach list = counterparty list filtered to util&gt;100%' is subtly wrong.</t>
        </is>
      </c>
      <c r="F36" s="42" t="inlineStr">
        <is>
          <t>Decide the canonical 'breaching' definition for the radar. To make the breach list literally a filtered subset of the portfolio (single line-grain spine), carry the Excess_Breach flag onto the portfolio view and key the radar off the flag, not raw utilisation. Until then, document that the two populations differ.</t>
        </is>
      </c>
      <c r="G36" s="48" t="inlineStr">
        <is>
          <t>Open</t>
        </is>
      </c>
    </row>
    <row r="37" ht="120" customHeight="1">
      <c r="A37" s="40" t="n">
        <v>33</v>
      </c>
      <c r="B37" s="41" t="inlineStr">
        <is>
          <t>Modeling / Architecture</t>
        </is>
      </c>
      <c r="C37" s="42" t="inlineStr">
        <is>
          <t>Duplicated logic across portfolio + breach views — no shared baseline (spine)</t>
        </is>
      </c>
      <c r="D37" s="42" t="inlineStr">
        <is>
          <t>portfolio_aggregation_v4.sql AND vw_ast_breach_report_v7.sql</t>
        </is>
      </c>
      <c r="E37" s="42" t="inlineStr">
        <is>
          <t>Both views independently re-compute the bucket-matched limit (CASE Max_Exp_Time_Bucket ladder), utilisation ratio, entity parse, rating/NIG strip. Same logic written twice -&gt; can DRIFT (one fixed, other not) -&gt; the two stop reconciling silently.</t>
        </is>
      </c>
      <c r="F37" s="42" t="inlineStr">
        <is>
          <t>Refactor to a single LINE-GRAIN SPINE view computing this logic ONCE: every facility/line with exposure, bucket-matched limit, utilisation, breach flag, dims. Then breach = spine WHERE breach flag; portfolio = spine aggregated to counterparty. One baseline + two derivations.</t>
        </is>
      </c>
      <c r="G37" s="48" t="inlineStr">
        <is>
          <t>Open</t>
        </is>
      </c>
    </row>
    <row r="38" ht="120" customHeight="1">
      <c r="A38" s="40" t="n">
        <v>34</v>
      </c>
      <c r="B38" s="41" t="inlineStr">
        <is>
          <t>Requirements / Architecture</t>
        </is>
      </c>
      <c r="C38" s="42" t="inlineStr">
        <is>
          <t>REQ: facility-counterparty view must have the SAME STRUCTURE as the breach report</t>
        </is>
      </c>
      <c r="D38" s="42" t="inlineStr">
        <is>
          <t>new requirement (target design)</t>
        </is>
      </c>
      <c r="E38" s="42" t="inlineStr">
        <is>
          <t>Facility (line) x counterparty view = breach-report column shape + grain, but UNFILTERED (all facilities, not just breaches). This makes the breach-report row shape the CANONICAL line-grain structure.</t>
        </is>
      </c>
      <c r="F38" s="42" t="inlineStr">
        <is>
          <t>The facility-counterparty view IS the spine (n+33): line grain, breach-report structure, no breach filter. breach report = spine WHERE Excess_Breach=TRUE; portfolio = spine aggregated to counterparty. Resolves the duplication: one spine, two derivations, shared structure by construction.</t>
        </is>
      </c>
      <c r="G38" s="48" t="inlineStr">
        <is>
          <t>Open</t>
        </is>
      </c>
    </row>
    <row r="39" ht="90" customHeight="1">
      <c r="A39" s="45" t="n">
        <v>35</v>
      </c>
      <c r="B39" s="41" t="inlineStr">
        <is>
          <t>Requirements / Conformance</t>
        </is>
      </c>
      <c r="C39" s="42" t="inlineStr">
        <is>
          <t>REQ 1.1 Industry must be 5 mapped sectors (HF=SIC 7298)</t>
        </is>
      </c>
      <c r="D39" s="42" t="inlineStr">
        <is>
          <t>portfolio v5 / breach v8</t>
        </is>
      </c>
      <c r="E39" s="42" t="inlineStr">
        <is>
          <t>Portfolio cannot resolve HF (no sic_code on ats_summary); breach v8 can. Sector mapping differs between the two levels.</t>
        </is>
      </c>
      <c r="F39" s="42" t="inlineStr">
        <is>
          <t>Portfolio best-effort text map, HF flagged. Unify by giving portfolio sic_code (join test_ats_summary or source add).</t>
        </is>
      </c>
      <c r="G39" s="60" t="inlineStr">
        <is>
          <t>Open</t>
        </is>
      </c>
    </row>
    <row r="40" ht="90" customHeight="1">
      <c r="A40" s="45" t="n">
        <v>36</v>
      </c>
      <c r="B40" s="41" t="inlineStr">
        <is>
          <t>Requirements / Conformance</t>
        </is>
      </c>
      <c r="C40" s="42" t="inlineStr">
        <is>
          <t>Display-hygiene filters (Stress&gt;0, Limit&gt;1) are NOT in the email</t>
        </is>
      </c>
      <c r="D40" s="42" t="inlineStr">
        <is>
          <t>dashboard</t>
        </is>
      </c>
      <c r="E40" s="42" t="inlineStr">
        <is>
          <t>Risk of drifting from rqts if treated as requirements. They are additive; the 5 email filters are the baseline.</t>
        </is>
      </c>
      <c r="F40" s="42" t="inlineStr">
        <is>
          <t>Keep hygiene filters at dashboard layer separate from the 5 required filters. Surface excluded (limit=1) names as a count.</t>
        </is>
      </c>
      <c r="G40" s="61" t="inlineStr">
        <is>
          <t>Watch</t>
        </is>
      </c>
    </row>
    <row r="41" ht="110" customHeight="1">
      <c r="A41" s="45" t="n">
        <v>37</v>
      </c>
      <c r="B41" s="41" t="inlineStr">
        <is>
          <t>Data Concern / Completeness</t>
        </is>
      </c>
      <c r="C41" s="42" t="inlineStr">
        <is>
          <t>Limit_Amount = 1 (or 2) is a SOURCE placeholder, not a real limit</t>
        </is>
      </c>
      <c r="D41" s="42" t="inlineStr">
        <is>
          <t>asts Limit_* -&gt; portfolio limit_amt, breach Limit_Amount, utilization</t>
        </is>
      </c>
      <c r="E41" s="42" t="inlineStr">
        <is>
          <t>utilization = stress / 1 (or /2) = MILLIONS -&gt; blows up the trajectory X-axis and any compound Sum(stress)/Sum(limit). A handful of placeholder rows distort portfolio-level utilisation.</t>
        </is>
      </c>
      <c r="F41" s="42" t="inlineStr">
        <is>
          <t>Dashboard: filter Limit Amount &gt; 1 (really &gt; a small floor, e.g. &gt;2) for display. These rows are a FINDING (exposure, no real limit) -&gt; surface as an excluded-count, not silently dropped. Root fix: source should load real limits or a documented NULL, never 1/2.</t>
        </is>
      </c>
      <c r="G41" s="60" t="inlineStr">
        <is>
          <t>Open</t>
        </is>
      </c>
    </row>
    <row r="42" ht="110" customHeight="1">
      <c r="A42" s="45" t="n">
        <v>38</v>
      </c>
      <c r="B42" s="41" t="inlineStr">
        <is>
          <t>Dependency / Completeness</t>
        </is>
      </c>
      <c r="C42" s="42" t="inlineStr">
        <is>
          <t>Portfolio depends on ats_summary which is MISSING No_Line_Indicator + sic_code</t>
        </is>
      </c>
      <c r="D42" s="42" t="inlineStr">
        <is>
          <t>vw_asts_portfolio_cp_stress &lt;- ats_summary</t>
        </is>
      </c>
      <c r="E42" s="42" t="inlineStr">
        <is>
          <t>Two required things are not on ats_summary: (1) No_Line_Indicator (107 no-line lines confirmed leaked in) -&gt; population not clean; (2) sic_code -&gt; Hedge Funds (REQ1.1) unresolvable. Both force a join back to asts / test_ats_summary.</t>
        </is>
      </c>
      <c r="F42" s="42" t="inlineStr">
        <is>
          <t>v6: anti-join asts on No_Line_Indicator=TRUE (drop the 107, mirror breach report); join test_ats_summary for sic_code (HF=7298). Long-term: have the ats_summary build carry No_Line_Indicator + sic_code so consumers do not re-derive.</t>
        </is>
      </c>
      <c r="G42" s="60" t="inlineStr">
        <is>
          <t>Open</t>
        </is>
      </c>
    </row>
    <row r="43"/>
    <row r="44">
      <c r="A44" s="20" t="inlineStr">
        <is>
          <t>Status tally:</t>
        </is>
      </c>
      <c r="B44" s="33" t="inlineStr">
        <is>
          <t>Open: 11</t>
        </is>
      </c>
      <c r="C44" s="36" t="inlineStr">
        <is>
          <t>Confirm: 3</t>
        </is>
      </c>
      <c r="D44" s="31" t="inlineStr">
        <is>
          <t>Watch: 11</t>
        </is>
      </c>
      <c r="E44" s="29" t="inlineStr">
        <is>
          <t>Handled: 13</t>
        </is>
      </c>
    </row>
  </sheetData>
  <autoFilter ref="A4:G36"/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6" customWidth="1" min="3" max="3"/>
    <col width="34" customWidth="1" min="4" max="4"/>
    <col width="11" customWidth="1" min="5" max="5"/>
    <col width="40" customWidth="1" min="6" max="6"/>
  </cols>
  <sheetData>
    <row r="1" ht="30" customHeight="1">
      <c r="A1" s="45" t="inlineStr">
        <is>
          <t>Requirements Tally — Tia's email (Level 1 Portfolio / Level 2 Facility / Level 3 Line). Keep aligned: required fields+filters = baseline; out-of-box (trajectory/fingerprint) sits ON TOP.</t>
        </is>
      </c>
    </row>
    <row r="2">
      <c r="A2" s="54" t="inlineStr">
        <is>
          <t>Req #</t>
        </is>
      </c>
      <c r="B2" s="54" t="inlineStr">
        <is>
          <t>Requirement (from email)</t>
        </is>
      </c>
      <c r="C2" s="54" t="inlineStr">
        <is>
          <t>Where it lives</t>
        </is>
      </c>
      <c r="D2" s="54" t="inlineStr">
        <is>
          <t>Satisfied by (view · column)</t>
        </is>
      </c>
      <c r="E2" s="54" t="inlineStr">
        <is>
          <t>Status</t>
        </is>
      </c>
      <c r="F2" s="54" t="inlineStr">
        <is>
          <t>Gap / next step</t>
        </is>
      </c>
    </row>
    <row r="3" ht="46" customHeight="1">
      <c r="A3" s="55" t="inlineStr">
        <is>
          <t>1.1</t>
        </is>
      </c>
      <c r="B3" s="56" t="inlineStr">
        <is>
          <t>Portfolio: Stress PFE by Industry = 5 mapped sectors (HF=SIC 7298; else Financial/Banks/Government -&gt; Corporates)</t>
        </is>
      </c>
      <c r="C3" s="56" t="inlineStr">
        <is>
          <t>Portfolio</t>
        </is>
      </c>
      <c r="D3" s="56" t="inlineStr">
        <is>
          <t>portfolio v5 · sector</t>
        </is>
      </c>
      <c r="E3" s="57" t="inlineStr">
        <is>
          <t>PARTIAL</t>
        </is>
      </c>
      <c r="F3" s="56" t="inlineStr">
        <is>
          <t>HF=7298 unresolvable from ats_summary (no sic_code). Banks/Fin/Govt/Corp mapped by text. Join test_ats_summary or add sic_code to source for exact HF.</t>
        </is>
      </c>
    </row>
    <row r="4" ht="46" customHeight="1">
      <c r="A4" s="55" t="inlineStr">
        <is>
          <t>1.1</t>
        </is>
      </c>
      <c r="B4" s="56" t="inlineStr">
        <is>
          <t>Portfolio: split OTC / SFT</t>
        </is>
      </c>
      <c r="C4" s="56" t="inlineStr">
        <is>
          <t>Portfolio</t>
        </is>
      </c>
      <c r="D4" s="56" t="inlineStr">
        <is>
          <t>portfolio v5 · otc_sft (page filter)</t>
        </is>
      </c>
      <c r="E4" s="58" t="inlineStr">
        <is>
          <t>DONE</t>
        </is>
      </c>
      <c r="F4" s="56" t="inlineStr">
        <is>
          <t>Page-by toggle on dashboard.</t>
        </is>
      </c>
    </row>
    <row r="5" ht="46" customHeight="1">
      <c r="A5" s="55" t="inlineStr">
        <is>
          <t>1.1</t>
        </is>
      </c>
      <c r="B5" s="56" t="inlineStr">
        <is>
          <t>Portfolio: by Entity (4-digit SCREAM line code)</t>
        </is>
      </c>
      <c r="C5" s="56" t="inlineStr">
        <is>
          <t>Portfolio</t>
        </is>
      </c>
      <c r="D5" s="56" t="inlineStr">
        <is>
          <t>portfolio v5 · entity (parsed)</t>
        </is>
      </c>
      <c r="E5" s="58" t="inlineStr">
        <is>
          <t>DONE</t>
        </is>
      </c>
      <c r="F5" s="56" t="inlineStr">
        <is>
          <t>regexp first ( ) token. Wrong td_sub column avoided.</t>
        </is>
      </c>
    </row>
    <row r="6" ht="46" customHeight="1">
      <c r="A6" s="55" t="inlineStr">
        <is>
          <t>1.1</t>
        </is>
      </c>
      <c r="B6" s="56" t="inlineStr">
        <is>
          <t>Portfolio: by BRR</t>
        </is>
      </c>
      <c r="C6" s="56" t="inlineStr">
        <is>
          <t>Portfolio</t>
        </is>
      </c>
      <c r="D6" s="56" t="inlineStr">
        <is>
          <t>portfolio v5 · brr_bucket</t>
        </is>
      </c>
      <c r="E6" s="58" t="inlineStr">
        <is>
          <t>DONE</t>
        </is>
      </c>
      <c r="F6" s="56" t="inlineStr">
        <is>
          <t>NIG/leading-digit/5+ bucketing.</t>
        </is>
      </c>
    </row>
    <row r="7" ht="46" customHeight="1">
      <c r="A7" s="55" t="inlineStr">
        <is>
          <t>2.1</t>
        </is>
      </c>
      <c r="B7" s="56" t="inlineStr">
        <is>
          <t>Facility view: ALL lines at line grain, stress PFE each</t>
        </is>
      </c>
      <c r="C7" s="56" t="inlineStr">
        <is>
          <t>Facility/Breach</t>
        </is>
      </c>
      <c r="D7" s="56" t="inlineStr">
        <is>
          <t>breach v8 (line grain) — facility = v8 minus breach filter</t>
        </is>
      </c>
      <c r="E7" s="57" t="inlineStr">
        <is>
          <t>PARTIAL</t>
        </is>
      </c>
      <c r="F7" s="56" t="inlineStr">
        <is>
          <t>Breach v8 = filtered. The unfiltered facility (all lines + flag) = the SPINE, still to build (matrix rows 33/34).</t>
        </is>
      </c>
    </row>
    <row r="8" ht="46" customHeight="1">
      <c r="A8" s="55" t="inlineStr">
        <is>
          <t>2.1.a</t>
        </is>
      </c>
      <c r="B8" s="56" t="inlineStr">
        <is>
          <t>Manual: Major Risk Driver / Recurring-New / Feedback</t>
        </is>
      </c>
      <c r="C8" s="56" t="inlineStr">
        <is>
          <t>Facility/Breach</t>
        </is>
      </c>
      <c r="D8" s="56" t="inlineStr">
        <is>
          <t>breach v8 · Major_Risk_Driver, Recurring_New, Feedback</t>
        </is>
      </c>
      <c r="E8" s="57" t="inlineStr">
        <is>
          <t>PARTIAL</t>
        </is>
      </c>
      <c r="F8" s="56" t="inlineStr">
        <is>
          <t>Recurring_New real; Driver+Feedback stubs (NULL) pending ats_dshbd_breach_commentary wire-up.</t>
        </is>
      </c>
    </row>
    <row r="9" ht="46" customHeight="1">
      <c r="A9" s="55" t="inlineStr">
        <is>
          <t>2.1.b</t>
        </is>
      </c>
      <c r="B9" s="56" t="inlineStr">
        <is>
          <t>IM + IA columns (from SCREAM)</t>
        </is>
      </c>
      <c r="C9" s="56" t="inlineStr">
        <is>
          <t>Facility/Breach</t>
        </is>
      </c>
      <c r="D9" s="56" t="inlineStr">
        <is>
          <t>breach v8 · IM, IA</t>
        </is>
      </c>
      <c r="E9" s="58" t="inlineStr">
        <is>
          <t>DONE</t>
        </is>
      </c>
      <c r="F9" s="56" t="inlineStr">
        <is>
          <t>IM=lines_report.initial_margin; IA=decomp max_usage_0_3_mo (product_group filter).</t>
        </is>
      </c>
    </row>
    <row r="10" ht="46" customHeight="1">
      <c r="A10" s="55" t="inlineStr">
        <is>
          <t>2.1.c</t>
        </is>
      </c>
      <c r="B10" s="56" t="inlineStr">
        <is>
          <t>OTC vs SFT column</t>
        </is>
      </c>
      <c r="C10" s="56" t="inlineStr">
        <is>
          <t>Facility/Breach</t>
        </is>
      </c>
      <c r="D10" s="56" t="inlineStr">
        <is>
          <t>breach v8 · Product_Type</t>
        </is>
      </c>
      <c r="E10" s="58" t="inlineStr">
        <is>
          <t>DONE</t>
        </is>
      </c>
      <c r="F10" s="56" t="inlineStr">
        <is>
          <t>ats_summary.otc_sft.</t>
        </is>
      </c>
    </row>
    <row r="11" ht="46" customHeight="1">
      <c r="A11" s="55" t="inlineStr">
        <is>
          <t>2.1.d</t>
        </is>
      </c>
      <c r="B11" s="56" t="inlineStr">
        <is>
          <t>Breach indicator (Y/N) on all lines</t>
        </is>
      </c>
      <c r="C11" s="56" t="inlineStr">
        <is>
          <t>Facility/Portfolio</t>
        </is>
      </c>
      <c r="D11" s="56" t="inlineStr">
        <is>
          <t>breach v8 (implicit) ; portfolio v5 · breaches_any</t>
        </is>
      </c>
      <c r="E11" s="58" t="inlineStr">
        <is>
          <t>DONE</t>
        </is>
      </c>
      <c r="F11" s="56" t="inlineStr">
        <is>
          <t>Portfolio v5 adds breaches_any so dashboard can filter-by-breaches at CP grain.</t>
        </is>
      </c>
    </row>
    <row r="12" ht="46" customHeight="1">
      <c r="A12" s="55" t="inlineStr">
        <is>
          <t>2.1</t>
        </is>
      </c>
      <c r="B12" s="56" t="inlineStr">
        <is>
          <t>Industry = mapped sector (5 buckets) on facility</t>
        </is>
      </c>
      <c r="C12" s="56" t="inlineStr">
        <is>
          <t>Facility/Breach</t>
        </is>
      </c>
      <c r="D12" s="56" t="inlineStr">
        <is>
          <t>breach v8 · Sector</t>
        </is>
      </c>
      <c r="E12" s="58" t="inlineStr">
        <is>
          <t>DONE</t>
        </is>
      </c>
      <c r="F12" s="56" t="inlineStr">
        <is>
          <t>HF=7298 resolvable here (sic_code on test_ats_summary). Granular Industry kept for display.</t>
        </is>
      </c>
    </row>
    <row r="13" ht="46" customHeight="1">
      <c r="A13" s="55" t="inlineStr">
        <is>
          <t>2.1</t>
        </is>
      </c>
      <c r="B13" s="56" t="inlineStr">
        <is>
          <t>Filters: breaches, industry, rating, line type, stress credit utilization</t>
        </is>
      </c>
      <c r="C13" s="56" t="inlineStr">
        <is>
          <t>Dashboard</t>
        </is>
      </c>
      <c r="D13" s="56" t="inlineStr">
        <is>
          <t>breach v8 cols all present</t>
        </is>
      </c>
      <c r="E13" s="57" t="inlineStr">
        <is>
          <t>TO WIRE</t>
        </is>
      </c>
      <c r="F13" s="56" t="inlineStr">
        <is>
          <t>Build these 5 as dashboard filters on the facility/breach grid.</t>
        </is>
      </c>
    </row>
    <row r="14" ht="46" customHeight="1">
      <c r="A14" s="55" t="inlineStr">
        <is>
          <t>2.1</t>
        </is>
      </c>
      <c r="B14" s="56" t="inlineStr">
        <is>
          <t>Drill: click counterparty / line code -&gt; exposure detail</t>
        </is>
      </c>
      <c r="C14" s="56" t="inlineStr">
        <is>
          <t>Dashboard</t>
        </is>
      </c>
      <c r="D14" s="56" t="inlineStr">
        <is>
          <t>linked attributes + selector</t>
        </is>
      </c>
      <c r="E14" s="57" t="inlineStr">
        <is>
          <t>TO WIRE</t>
        </is>
      </c>
      <c r="F14" s="56" t="inlineStr">
        <is>
          <t>Level-2 -&gt; Level-3 drill (Counterparty/Line linked).</t>
        </is>
      </c>
    </row>
    <row r="15" ht="46" customHeight="1">
      <c r="A15" s="55" t="inlineStr">
        <is>
          <t>relabel</t>
        </is>
      </c>
      <c r="B15" s="56" t="inlineStr">
        <is>
          <t>"Current Exposure"-&gt;Standard PFE ; "Stress Exposure"-&gt;Stress PFE</t>
        </is>
      </c>
      <c r="C15" s="56" t="inlineStr">
        <is>
          <t>All</t>
        </is>
      </c>
      <c r="D15" s="56" t="inlineStr">
        <is>
          <t>breach v8 · Standard_PFE_MM, Stress_PFE_MM ; portfolio · standard_pfe, stress_pfe</t>
        </is>
      </c>
      <c r="E15" s="58" t="inlineStr">
        <is>
          <t>DONE</t>
        </is>
      </c>
      <c r="F15" s="56" t="inlineStr">
        <is>
          <t>Naming already applied in views.</t>
        </is>
      </c>
    </row>
    <row r="16" ht="46" customHeight="1">
      <c r="A16" s="55" t="inlineStr">
        <is>
          <t>3</t>
        </is>
      </c>
      <c r="B16" s="56" t="inlineStr">
        <is>
          <t>Individual Line Tab: deals by asset class, hist max stress PFE, MTM/IM/IA, commentary</t>
        </is>
      </c>
      <c r="C16" s="56" t="inlineStr">
        <is>
          <t>Line (L3)</t>
        </is>
      </c>
      <c r="D16" s="56" t="inlineStr">
        <is>
          <t>pfe_deals_report (design only)</t>
        </is>
      </c>
      <c r="E16" s="59" t="inlineStr">
        <is>
          <t>NOT STARTED</t>
        </is>
      </c>
      <c r="F16" s="56" t="inlineStr">
        <is>
          <t>Level-3 tearsheet — future workstream.</t>
        </is>
      </c>
    </row>
    <row r="17" ht="46" customHeight="1">
      <c r="A17" s="55" t="inlineStr">
        <is>
          <t>4</t>
        </is>
      </c>
      <c r="B17" s="56" t="inlineStr">
        <is>
          <t>Override Function: Credit Analytics corrects data, flows to all dashboards</t>
        </is>
      </c>
      <c r="C17" s="56" t="inlineStr">
        <is>
          <t>Cross</t>
        </is>
      </c>
      <c r="D17" s="56" t="inlineStr">
        <is>
          <t>write-back table (ats_dshbd_breach_commentary + override)</t>
        </is>
      </c>
      <c r="E17" s="59" t="inlineStr">
        <is>
          <t>NOT STARTED</t>
        </is>
      </c>
      <c r="F17" s="56" t="inlineStr">
        <is>
          <t>Architecturally significant write-back workstream, not a column.</t>
        </is>
      </c>
    </row>
    <row r="18" ht="46" customHeight="1">
      <c r="A18" s="55" t="inlineStr">
        <is>
          <t>OOB</t>
        </is>
      </c>
      <c r="B18" s="56" t="inlineStr">
        <is>
          <t>Out-of-box: trajectory scatter (util x stress), scenario fingerprint, MoM</t>
        </is>
      </c>
      <c r="C18" s="56" t="inlineStr">
        <is>
          <t>Portfolio (on top)</t>
        </is>
      </c>
      <c r="D18" s="56" t="inlineStr">
        <is>
          <t>portfolio v5 · 8 cp_* + stress_pfe + limit_amt + utilization</t>
        </is>
      </c>
      <c r="E18" s="57" t="inlineStr">
        <is>
          <t>IN PROGRESS</t>
        </is>
      </c>
      <c r="F18" s="56" t="inlineStr">
        <is>
          <t>Sits ON TOP of required cuts. Single-date working; MoM when history loads.</t>
        </is>
      </c>
    </row>
    <row r="19" ht="46" customHeight="1">
      <c r="A19" s="55" t="inlineStr">
        <is>
          <t>OOB</t>
        </is>
      </c>
      <c r="B19" s="56" t="inlineStr">
        <is>
          <t>Display-hygiene filters: Stress PFE&gt;0 AND Limit Amount&gt;1</t>
        </is>
      </c>
      <c r="C19" s="56" t="inlineStr">
        <is>
          <t>Dashboard (on top)</t>
        </is>
      </c>
      <c r="D19" s="56" t="inlineStr">
        <is>
          <t>dashboard layer</t>
        </is>
      </c>
      <c r="E19" s="57" t="inlineStr">
        <is>
          <t>TO WIRE</t>
        </is>
      </c>
      <c r="F19" s="56" t="inlineStr">
        <is>
          <t>NOT in email — additive. limit=1 = placeholder anomaly (logged).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2026-06-29T00:21:06Z</dcterms:modified>
</cp:coreProperties>
</file>