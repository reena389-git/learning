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 · Layering" sheetId="2" state="visible" r:id="rId2"/>
    <sheet xmlns:r="http://schemas.openxmlformats.org/officeDocument/2006/relationships" name="3 · Roles &amp; Objects" sheetId="3" state="visible" r:id="rId3"/>
    <sheet xmlns:r="http://schemas.openxmlformats.org/officeDocument/2006/relationships" name="4 · Setup Order" sheetId="4" state="visible" r:id="rId4"/>
    <sheet xmlns:r="http://schemas.openxmlformats.org/officeDocument/2006/relationships" name="5 · Entity Resolution" sheetId="5" state="visible" r:id="rId5"/>
    <sheet xmlns:r="http://schemas.openxmlformats.org/officeDocument/2006/relationships" name="6 · Governance ↔ Genie" sheetId="6" state="visible" r:id="rId6"/>
    <sheet xmlns:r="http://schemas.openxmlformats.org/officeDocument/2006/relationships" name="7 · Your Questions" sheetId="7" state="visible" r:id="rId7"/>
    <sheet xmlns:r="http://schemas.openxmlformats.org/officeDocument/2006/relationships" name="8 · Limits &amp; Facts" sheetId="8" state="visible" r:id="rId8"/>
    <sheet xmlns:r="http://schemas.openxmlformats.org/officeDocument/2006/relationships" name="9 · Open Items" sheetId="9" state="visible" r:id="rId9"/>
    <sheet xmlns:r="http://schemas.openxmlformats.org/officeDocument/2006/relationships" name="10 · Metric View Auto-Gen" sheetId="10" state="visible" r:id="rId10"/>
    <sheet xmlns:r="http://schemas.openxmlformats.org/officeDocument/2006/relationships" name="11 · Auto vs Confirm" sheetId="11" state="visible" r:id="rId11"/>
    <sheet xmlns:r="http://schemas.openxmlformats.org/officeDocument/2006/relationships" name="12 · Signal Ledger" sheetId="12" state="visible" r:id="rId12"/>
    <sheet xmlns:r="http://schemas.openxmlformats.org/officeDocument/2006/relationships" name="13 · POC Log" sheetId="13" state="visible" r:id="rId13"/>
    <sheet xmlns:r="http://schemas.openxmlformats.org/officeDocument/2006/relationships" name="14 · CMOS Silver Schema" sheetId="14" state="visible" r:id="rId14"/>
    <sheet xmlns:r="http://schemas.openxmlformats.org/officeDocument/2006/relationships" name="15 · Key Resolution" sheetId="15" state="visible" r:id="rId15"/>
    <sheet xmlns:r="http://schemas.openxmlformats.org/officeDocument/2006/relationships" name="16 · POC Findings" sheetId="16" state="visible" r:id="rId16"/>
    <sheet xmlns:r="http://schemas.openxmlformats.org/officeDocument/2006/relationships" name="17 · MSTR vs Metric View" sheetId="17" state="visible" r:id="rId17"/>
    <sheet xmlns:r="http://schemas.openxmlformats.org/officeDocument/2006/relationships" name="18 · LOD &amp; Window" sheetId="18" state="visible" r:id="rId18"/>
    <sheet xmlns:r="http://schemas.openxmlformats.org/officeDocument/2006/relationships" name="19 · Ontology-&gt;MV (Erwin)" sheetId="19" state="visible" r:id="rId19"/>
    <sheet xmlns:r="http://schemas.openxmlformats.org/officeDocument/2006/relationships" name="20 · BI 4-way (LOD-drill)" sheetId="20" state="visible" r:id="rId20"/>
    <sheet xmlns:r="http://schemas.openxmlformats.org/officeDocument/2006/relationships" name="21 · LOD exampl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i val="1"/>
      <color rgb="00595959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1F3A5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Genie &amp; Unity Catalog Semantics — Running Cheat Sheet</t>
        </is>
      </c>
    </row>
    <row r="2">
      <c r="A2" s="2" t="inlineStr">
        <is>
          <t>TDS Risk Data Platform · built with Claude · verified vs Databricks docs, Jul 2026 · a living reference — keep extending</t>
        </is>
      </c>
    </row>
    <row r="4">
      <c r="A4" s="3" t="inlineStr"/>
      <c r="B4" s="4" t="inlineStr"/>
      <c r="C4" s="20" t="n"/>
      <c r="D4" s="20" t="n"/>
      <c r="E4" s="20" t="n"/>
      <c r="F4" s="21" t="n"/>
    </row>
    <row r="5">
      <c r="A5" s="3" t="inlineStr">
        <is>
          <t>THE ONE MENTAL MODEL</t>
        </is>
      </c>
      <c r="B5" s="4" t="inlineStr">
        <is>
          <t>Three of these you DECLARE (they are law); one Genie INFERS (it is a census).</t>
        </is>
      </c>
      <c r="C5" s="20" t="n"/>
      <c r="D5" s="20" t="n"/>
      <c r="E5" s="20" t="n"/>
      <c r="F5" s="21" t="n"/>
    </row>
    <row r="6">
      <c r="A6" s="3" t="inlineStr">
        <is>
          <t xml:space="preserve">  You DECLARE (governed, authoritative)</t>
        </is>
      </c>
      <c r="B6" s="4" t="inlineStr">
        <is>
          <t>Domains · Business Glossary · Metrics/Metric Views — authored in Unity Catalog.</t>
        </is>
      </c>
      <c r="C6" s="20" t="n"/>
      <c r="D6" s="20" t="n"/>
      <c r="E6" s="20" t="n"/>
      <c r="F6" s="21" t="n"/>
    </row>
    <row r="7">
      <c r="A7" s="3" t="inlineStr">
        <is>
          <t xml:space="preserve">  Genie INFERS (learned, ranked)</t>
        </is>
      </c>
      <c r="B7" s="4" t="inlineStr">
        <is>
          <t>Genie Ontology — a self-improving knowledge graph. It maps the meaning you already declared; it does not invent governance.</t>
        </is>
      </c>
      <c r="C7" s="20" t="n"/>
      <c r="D7" s="20" t="n"/>
      <c r="E7" s="20" t="n"/>
      <c r="F7" s="21" t="n"/>
    </row>
    <row r="8">
      <c r="A8" s="3" t="inlineStr">
        <is>
          <t xml:space="preserve">  Your governed tables sit UNDER all of it</t>
        </is>
      </c>
      <c r="B8" s="4" t="inlineStr">
        <is>
          <t>entity / relationship / table_mapping / entity_alignment / semantic_divergence / entity_detection — the SOURCE OF TRUTH. Genie consumes them; it does not replace them.</t>
        </is>
      </c>
      <c r="C8" s="20" t="n"/>
      <c r="D8" s="20" t="n"/>
      <c r="E8" s="20" t="n"/>
      <c r="F8" s="21" t="n"/>
    </row>
    <row r="9">
      <c r="A9" s="3" t="inlineStr"/>
      <c r="B9" s="4" t="inlineStr"/>
      <c r="C9" s="20" t="n"/>
      <c r="D9" s="20" t="n"/>
      <c r="E9" s="20" t="n"/>
      <c r="F9" s="21" t="n"/>
    </row>
    <row r="10">
      <c r="A10" s="3" t="inlineStr">
        <is>
          <t>THE THREE BUCKETS (colour key on every tab)</t>
        </is>
      </c>
      <c r="B10" s="4" t="inlineStr"/>
      <c r="C10" s="20" t="n"/>
      <c r="D10" s="20" t="n"/>
      <c r="E10" s="20" t="n"/>
      <c r="F10" s="21" t="n"/>
    </row>
    <row r="11">
      <c r="A11" s="5" t="inlineStr">
        <is>
          <t xml:space="preserve">  STRUCTURAL</t>
        </is>
      </c>
      <c r="B11" s="4" t="inlineStr">
        <is>
          <t>The model &amp; its projections — entities, relationships, conformed dims, facts. What things ARE / how they connect. (blue)</t>
        </is>
      </c>
      <c r="C11" s="20" t="n"/>
      <c r="D11" s="20" t="n"/>
      <c r="E11" s="20" t="n"/>
      <c r="F11" s="21" t="n"/>
    </row>
    <row r="12">
      <c r="A12" s="6" t="inlineStr">
        <is>
          <t xml:space="preserve">  DECLARATION</t>
        </is>
      </c>
      <c r="B12" s="4" t="inlineStr">
        <is>
          <t>What YOU author in Unity Catalog so Genie is correct — Domains, Glossary, Metrics, instructions, trusted assets. (green)</t>
        </is>
      </c>
      <c r="C12" s="20" t="n"/>
      <c r="D12" s="20" t="n"/>
      <c r="E12" s="20" t="n"/>
      <c r="F12" s="21" t="n"/>
    </row>
    <row r="13">
      <c r="A13" s="7" t="inlineStr">
        <is>
          <t xml:space="preserve">  PROFILER / INFERRED</t>
        </is>
      </c>
      <c r="B13" s="4" t="inlineStr">
        <is>
          <t>What Genie learns on its own — the Ontology, query-popularity, suggested joins/domains. Draft, not truth. (amber)</t>
        </is>
      </c>
      <c r="C13" s="20" t="n"/>
      <c r="D13" s="20" t="n"/>
      <c r="E13" s="20" t="n"/>
      <c r="F13" s="21" t="n"/>
    </row>
    <row r="14">
      <c r="A14" s="8" t="inlineStr">
        <is>
          <t xml:space="preserve">  SURFACE</t>
        </is>
      </c>
      <c r="B14" s="4" t="inlineStr">
        <is>
          <t>What a person actually talks to — Genie One, Genie Agent, AI/BI Genie. Consumes the three above. (grey)</t>
        </is>
      </c>
      <c r="C14" s="20" t="n"/>
      <c r="D14" s="20" t="n"/>
      <c r="E14" s="20" t="n"/>
      <c r="F14" s="21" t="n"/>
    </row>
    <row r="15">
      <c r="A15" s="3" t="inlineStr"/>
      <c r="B15" s="4" t="inlineStr"/>
      <c r="C15" s="20" t="n"/>
      <c r="D15" s="20" t="n"/>
      <c r="E15" s="20" t="n"/>
      <c r="F15" s="21" t="n"/>
    </row>
    <row r="16">
      <c r="A16" s="3" t="inlineStr">
        <is>
          <t>HOW TO USE</t>
        </is>
      </c>
      <c r="B16" s="4" t="inlineStr">
        <is>
          <t>Tab 2 = the stack.  Tab 3 = every role/object.  Tab 4 = setup order + commands.  Tab 5 = entity resolution.  Tab 6 = your governance tables -&gt; Genie.  Tab 7 = your specific questions answered.  Tab 8 = hard limits.  Tab 9 = open items + CSV next step.</t>
        </is>
      </c>
      <c r="C16" s="20" t="n"/>
      <c r="D16" s="20" t="n"/>
      <c r="E16" s="20" t="n"/>
      <c r="F16" s="21" t="n"/>
    </row>
    <row r="17">
      <c r="A17" s="3" t="inlineStr">
        <is>
          <t>GOLDEN RULE</t>
        </is>
      </c>
      <c r="B17" s="4" t="inlineStr">
        <is>
          <t>'Upload and hope' = the ~20% accuracy world. The lift to ~95% comes from the declarations, not the model. In a BCBS-239 shop the declaration is not optional.</t>
        </is>
      </c>
      <c r="C17" s="20" t="n"/>
      <c r="D17" s="20" t="n"/>
      <c r="E17" s="20" t="n"/>
      <c r="F17" s="21" t="n"/>
    </row>
    <row r="18">
      <c r="A18" s="3" t="inlineStr">
        <is>
          <t>STATUS FLAGS</t>
        </is>
      </c>
      <c r="B18" s="4" t="inlineStr">
        <is>
          <t>GA = generally available · PREVIEW = public preview (do not make system-of-record) · VERIFY = confirm on your edition/region, may have changed.</t>
        </is>
      </c>
      <c r="C18" s="20" t="n"/>
      <c r="D18" s="20" t="n"/>
      <c r="E18" s="20" t="n"/>
      <c r="F18" s="21" t="n"/>
    </row>
  </sheetData>
  <mergeCells count="17">
    <mergeCell ref="B4:F4"/>
    <mergeCell ref="A2:F2"/>
    <mergeCell ref="B12:F12"/>
    <mergeCell ref="B7:F7"/>
    <mergeCell ref="B6:F6"/>
    <mergeCell ref="B16:F16"/>
    <mergeCell ref="B15:F15"/>
    <mergeCell ref="B10:F10"/>
    <mergeCell ref="A1:F1"/>
    <mergeCell ref="B11:F11"/>
    <mergeCell ref="B18:F18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  <col width="34" customWidth="1" min="4" max="4"/>
  </cols>
  <sheetData>
    <row r="1" ht="22" customHeight="1">
      <c r="A1" s="1" t="inlineStr">
        <is>
          <t>The Stack — bottom (raw) to top (what users touch)</t>
        </is>
      </c>
    </row>
    <row r="2">
      <c r="A2" s="2" t="inlineStr">
        <is>
          <t>Read upward. Each layer grounds the one above it. Your governance schema is the substrate the whole tower stands on.</t>
        </is>
      </c>
    </row>
    <row r="4">
      <c r="A4" s="9" t="inlineStr">
        <is>
          <t>Layer (top → bottom)</t>
        </is>
      </c>
      <c r="B4" s="9" t="inlineStr">
        <is>
          <t>Bucket</t>
        </is>
      </c>
      <c r="C4" s="9" t="inlineStr">
        <is>
          <t>What lives here</t>
        </is>
      </c>
      <c r="D4" s="9" t="inlineStr">
        <is>
          <t>Who/what owns it</t>
        </is>
      </c>
    </row>
    <row r="5" ht="42" customHeight="1">
      <c r="A5" s="8" t="inlineStr">
        <is>
          <t>7 · SURFACE</t>
        </is>
      </c>
      <c r="B5" s="10" t="inlineStr">
        <is>
          <t>SURFACE</t>
        </is>
      </c>
      <c r="C5" s="10" t="inlineStr">
        <is>
          <t>Genie One (coworker that acts) · Genie Agent (was 'Space') · AI/BI Genie · Genie Code</t>
        </is>
      </c>
      <c r="D5" s="10" t="inlineStr">
        <is>
          <t>Business users &amp; analysts</t>
        </is>
      </c>
    </row>
    <row r="6" ht="42" customHeight="1">
      <c r="A6" s="6" t="inlineStr">
        <is>
          <t>6 · REACH / GOVERNANCE OF AI</t>
        </is>
      </c>
      <c r="B6" s="11" t="inlineStr">
        <is>
          <t>DECLARATION</t>
        </is>
      </c>
      <c r="C6" s="11" t="inlineStr">
        <is>
          <t>Genie MCP (two-way tool access, on-behalf-of, audited) · Unity AI Gateway (registry for models &amp; skills) · Genie Skills</t>
        </is>
      </c>
      <c r="D6" s="11" t="inlineStr">
        <is>
          <t>Platform / AI governance</t>
        </is>
      </c>
    </row>
    <row r="7" ht="42" customHeight="1">
      <c r="A7" s="7" t="inlineStr">
        <is>
          <t>5 · INFERRED CONTEXT</t>
        </is>
      </c>
      <c r="B7" s="12" t="inlineStr">
        <is>
          <t>PROFILER/INFERRED</t>
        </is>
      </c>
      <c r="C7" s="12" t="inlineStr">
        <is>
          <t>Genie Ontology — auto-built knowledge graph; OntoRank ranks definitions by authority + popularity</t>
        </is>
      </c>
      <c r="D7" s="12" t="inlineStr">
        <is>
          <t>Genie (machine) — you only feed it indirectly</t>
        </is>
      </c>
    </row>
    <row r="8" ht="42" customHeight="1">
      <c r="A8" s="6" t="inlineStr">
        <is>
          <t>4 · DECLARED SEMANTICS (UC)</t>
        </is>
      </c>
      <c r="B8" s="11" t="inlineStr">
        <is>
          <t>DECLARATION</t>
        </is>
      </c>
      <c r="C8" s="11" t="inlineStr">
        <is>
          <t>Domains (scope) · Business Glossary (meaning) · Metrics/Metric Views (calculation)</t>
        </is>
      </c>
      <c r="D8" s="11" t="inlineStr">
        <is>
          <t>You — data stewards, in Unity Catalog</t>
        </is>
      </c>
    </row>
    <row r="9" ht="42" customHeight="1">
      <c r="A9" s="6" t="inlineStr">
        <is>
          <t>3 · AGENT CONFIG (knowledge store)</t>
        </is>
      </c>
      <c r="B9" s="11" t="inlineStr">
        <is>
          <t>DECLARATION</t>
        </is>
      </c>
      <c r="C9" s="11" t="inlineStr">
        <is>
          <t>Instructions · Example SQL / benchmarks · Trusted assets (UDFs) · Join relationships · Synonyms / prompt matching</t>
        </is>
      </c>
      <c r="D9" s="11" t="inlineStr">
        <is>
          <t>You — per Genie Agent</t>
        </is>
      </c>
    </row>
    <row r="10" ht="42" customHeight="1">
      <c r="A10" s="5" t="inlineStr">
        <is>
          <t>2 · PROJECTION (serving shapes)</t>
        </is>
      </c>
      <c r="B10" s="13" t="inlineStr">
        <is>
          <t>STRUCTURAL</t>
        </is>
      </c>
      <c r="C10" s="13" t="inlineStr">
        <is>
          <t>Conformed dimensions + Fact constellation in GOLD · prejoined views ≤30 objects</t>
        </is>
      </c>
      <c r="D10" s="13" t="inlineStr">
        <is>
          <t>You — engineering (lossy projection of the model)</t>
        </is>
      </c>
    </row>
    <row r="11" ht="42" customHeight="1">
      <c r="A11" s="5" t="inlineStr">
        <is>
          <t>1 · MODEL (source of truth)</t>
        </is>
      </c>
      <c r="B11" s="13" t="inlineStr">
        <is>
          <t>STRUCTURAL</t>
        </is>
      </c>
      <c r="C11" s="13" t="inlineStr">
        <is>
          <t>Your ontology / domain model — entities, relationships, axioms (Erwin/PowerDesigner + governance tables)</t>
        </is>
      </c>
      <c r="D11" s="13" t="inlineStr">
        <is>
          <t>You — risk data (authoritative, auditable)</t>
        </is>
      </c>
    </row>
    <row r="12" ht="42" customHeight="1">
      <c r="A12" s="5" t="inlineStr">
        <is>
          <t>0 · GOVERNED DATA + SIGNALS</t>
        </is>
      </c>
      <c r="B12" s="13" t="inlineStr">
        <is>
          <t>STRUCTURAL</t>
        </is>
      </c>
      <c r="C12" s="13" t="inlineStr">
        <is>
          <t>UC tables/columns + comments · PK/FK · lineage (incl. external, GA) · query history · audit (system tables)</t>
        </is>
      </c>
      <c r="D12" s="13" t="inlineStr">
        <is>
          <t>Unity Catalog</t>
        </is>
      </c>
    </row>
    <row r="14">
      <c r="A14" s="3" t="inlineStr">
        <is>
          <t>Key insight</t>
        </is>
      </c>
      <c r="B14" s="4" t="inlineStr">
        <is>
          <t>The projection (constellation) is LOSSY — a star drops the relationship &amp; axiom layer. That dropped layer is exactly what cross-fact traversals and BCBS-239 rules need. So the MODEL (layer 1) can never be replaced by metric views (layer 4).</t>
        </is>
      </c>
      <c r="C14" s="20" t="n"/>
      <c r="D14" s="21" t="n"/>
    </row>
  </sheetData>
  <mergeCells count="3">
    <mergeCell ref="A1:D1"/>
    <mergeCell ref="B14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34" customWidth="1" min="4" max="4"/>
    <col width="24" customWidth="1" min="5" max="5"/>
    <col width="34" customWidth="1" min="6" max="6"/>
    <col width="24" customWidth="1" min="7" max="7"/>
    <col width="38" customWidth="1" min="8" max="8"/>
  </cols>
  <sheetData>
    <row r="1" ht="22" customHeight="1">
      <c r="A1" s="1" t="inlineStr">
        <is>
          <t>Every Genie / UC object — what it is, how it's fed, how it maps to your tables</t>
        </is>
      </c>
    </row>
    <row r="2">
      <c r="A2" s="2" t="inlineStr">
        <is>
          <t>Bucket colour on col B. 'Feeds 30-table cap?' answers your limit question. Last col ties each to YOUR governance schema.</t>
        </is>
      </c>
    </row>
    <row r="4">
      <c r="A4" s="9" t="inlineStr">
        <is>
          <t>Object</t>
        </is>
      </c>
      <c r="B4" s="9" t="inlineStr">
        <is>
          <t>Bucket</t>
        </is>
      </c>
      <c r="C4" s="9" t="inlineStr">
        <is>
          <t>Status</t>
        </is>
      </c>
      <c r="D4" s="9" t="inlineStr">
        <is>
          <t>What it is (1 line)</t>
        </is>
      </c>
      <c r="E4" s="9" t="inlineStr">
        <is>
          <t>Question it answers</t>
        </is>
      </c>
      <c r="F4" s="9" t="inlineStr">
        <is>
          <t>How info is fed (command / UI)</t>
        </is>
      </c>
      <c r="G4" s="9" t="inlineStr">
        <is>
          <t>Counts vs 30-table cap?</t>
        </is>
      </c>
      <c r="H4" s="9" t="inlineStr">
        <is>
          <t>Maps to YOUR governance</t>
        </is>
      </c>
    </row>
    <row r="5" ht="42" customHeight="1">
      <c r="A5" s="8" t="inlineStr">
        <is>
          <t>Genie One</t>
        </is>
      </c>
      <c r="B5" s="10" t="inlineStr">
        <is>
          <t>SURFACE</t>
        </is>
      </c>
      <c r="C5" s="4" t="inlineStr">
        <is>
          <t>GA</t>
        </is>
      </c>
      <c r="D5" s="4" t="inlineStr">
        <is>
          <t>Data-smart coworker that answers AND acts (docs, actions across Slack/Teams/web/mobile).</t>
        </is>
      </c>
      <c r="E5" s="4" t="inlineStr">
        <is>
          <t>Do the thing / answer + act</t>
        </is>
      </c>
      <c r="F5" s="4" t="inlineStr">
        <is>
          <t>Enable in workspace; consumes agents, dashboards, queries.</t>
        </is>
      </c>
      <c r="G5" s="4" t="inlineStr">
        <is>
          <t>n/a (surface)</t>
        </is>
      </c>
      <c r="H5" s="4" t="inlineStr">
        <is>
          <t>The consumption face for your Gold + ontology.</t>
        </is>
      </c>
    </row>
    <row r="6" ht="42" customHeight="1">
      <c r="A6" s="8" t="inlineStr">
        <is>
          <t>Genie Agent (was 'Space')</t>
        </is>
      </c>
      <c r="B6" s="10" t="inlineStr">
        <is>
          <t>SURFACE</t>
        </is>
      </c>
      <c r="C6" s="4" t="inlineStr">
        <is>
          <t>GA</t>
        </is>
      </c>
      <c r="D6" s="4" t="inlineStr">
        <is>
          <t>Configured container over ≤30 tables/views; the unit you tune.</t>
        </is>
      </c>
      <c r="E6" s="4" t="inlineStr">
        <is>
          <t>Answer questions on THIS data topic</t>
        </is>
      </c>
      <c r="F6" s="4" t="inlineStr">
        <is>
          <t>Genie sidebar → New → pick data sources → Configure.</t>
        </is>
      </c>
      <c r="G6" s="4" t="inlineStr">
        <is>
          <t>IT IS the thing the cap applies to</t>
        </is>
      </c>
      <c r="H6" s="4" t="inlineStr">
        <is>
          <t>One agent per domain (e.g. Collateral).</t>
        </is>
      </c>
    </row>
    <row r="7" ht="42" customHeight="1">
      <c r="A7" s="8" t="inlineStr">
        <is>
          <t>AI/BI Genie</t>
        </is>
      </c>
      <c r="B7" s="10" t="inlineStr">
        <is>
          <t>SURFACE</t>
        </is>
      </c>
      <c r="C7" s="4" t="inlineStr">
        <is>
          <t>GA</t>
        </is>
      </c>
      <c r="D7" s="4" t="inlineStr">
        <is>
          <t>The natural-language chat surface itself (renamed 'Databricks One' → Genie).</t>
        </is>
      </c>
      <c r="E7" s="4" t="inlineStr">
        <is>
          <t>Ask in English, get SQL-backed answers</t>
        </is>
      </c>
      <c r="F7" s="4" t="inlineStr">
        <is>
          <t>Built in; uses spaces/agents.</t>
        </is>
      </c>
      <c r="G7" s="4" t="inlineStr">
        <is>
          <t>n/a</t>
        </is>
      </c>
      <c r="H7" s="4" t="inlineStr">
        <is>
          <t>—</t>
        </is>
      </c>
    </row>
    <row r="8" ht="42" customHeight="1">
      <c r="A8" s="8" t="inlineStr">
        <is>
          <t>Genie Code</t>
        </is>
      </c>
      <c r="B8" s="10" t="inlineStr">
        <is>
          <t>SURFACE</t>
        </is>
      </c>
      <c r="C8" s="4" t="inlineStr">
        <is>
          <t>GA</t>
        </is>
      </c>
      <c r="D8" s="4" t="inlineStr">
        <is>
          <t>Code-oriented surface; also DRAFTS glossary terms &amp; flags drift.</t>
        </is>
      </c>
      <c r="E8" s="4" t="inlineStr">
        <is>
          <t>Help build/curate semantics</t>
        </is>
      </c>
      <c r="F8" s="4" t="inlineStr">
        <is>
          <t>Import BI files; suggests glossary/metric reuse.</t>
        </is>
      </c>
      <c r="G8" s="4" t="inlineStr">
        <is>
          <t>n/a</t>
        </is>
      </c>
      <c r="H8" s="4" t="inlineStr">
        <is>
          <t>Auto-drafts entity/glossary candidates → your quarantine.</t>
        </is>
      </c>
    </row>
    <row r="9" ht="42" customHeight="1">
      <c r="A9" s="6" t="inlineStr">
        <is>
          <t>Genie Skills</t>
        </is>
      </c>
      <c r="B9" s="11" t="inlineStr">
        <is>
          <t>DECLARE</t>
        </is>
      </c>
      <c r="C9" s="4" t="inlineStr">
        <is>
          <t>2026</t>
        </is>
      </c>
      <c r="D9" s="4" t="inlineStr">
        <is>
          <t>Packaged reusable capability (instruction / SQL pattern / calc / format) loaded on demand; open Agent Skills standard.</t>
        </is>
      </c>
      <c r="E9" s="4" t="inlineStr">
        <is>
          <t>Reuse a capability across agents</t>
        </is>
      </c>
      <c r="F9" s="4" t="inlineStr">
        <is>
          <t>Author in Genie One; register in UC under AI Gateway.</t>
        </is>
      </c>
      <c r="G9" s="4" t="inlineStr">
        <is>
          <t>No</t>
        </is>
      </c>
      <c r="H9" s="4" t="inlineStr">
        <is>
          <t>Your resolution logic / recurring patterns as skills.</t>
        </is>
      </c>
    </row>
    <row r="10" ht="42" customHeight="1">
      <c r="A10" s="6" t="inlineStr">
        <is>
          <t>Genie MCP</t>
        </is>
      </c>
      <c r="B10" s="11" t="inlineStr">
        <is>
          <t>DECLARE</t>
        </is>
      </c>
      <c r="C10" s="4" t="inlineStr">
        <is>
          <t>2026</t>
        </is>
      </c>
      <c r="D10" s="4" t="inlineStr">
        <is>
          <t>Two-way tool access; agents callable by other agents; on-behalf-of, every step logged.</t>
        </is>
      </c>
      <c r="E10" s="4" t="inlineStr">
        <is>
          <t>Serve governed tools to agents</t>
        </is>
      </c>
      <c r="F10" s="4" t="inlineStr">
        <is>
          <t>Publish agent + UC functions via managed MCP.</t>
        </is>
      </c>
      <c r="G10" s="4" t="inlineStr">
        <is>
          <t>No</t>
        </is>
      </c>
      <c r="H10" s="4" t="inlineStr">
        <is>
          <t>Serves tables_implementing/relationships_of/resolution_for.</t>
        </is>
      </c>
    </row>
    <row r="11" ht="42" customHeight="1">
      <c r="A11" s="7" t="inlineStr">
        <is>
          <t>Genie Ontology</t>
        </is>
      </c>
      <c r="B11" s="12" t="inlineStr">
        <is>
          <t>INFERRED</t>
        </is>
      </c>
      <c r="C11" s="4" t="inlineStr">
        <is>
          <t>PREVIEW</t>
        </is>
      </c>
      <c r="D11" s="4" t="inlineStr">
        <is>
          <t>Auto-inferred knowledge graph; OntoRank ranks by authority + popularity.</t>
        </is>
      </c>
      <c r="E11" s="4" t="inlineStr">
        <is>
          <t>Where does meaning appear &amp; connect?</t>
        </is>
      </c>
      <c r="F11" s="4" t="inlineStr">
        <is>
          <t>Automatic. Feed INDIRECTLY via comments/Glossary/Domains/Metrics.</t>
        </is>
      </c>
      <c r="G11" s="4" t="inlineStr">
        <is>
          <t>No (account-level, not an asset)</t>
        </is>
      </c>
      <c r="H11" s="4" t="inlineStr">
        <is>
          <t>The INFERRED twin of your relationship layer — drafts, never certifies.</t>
        </is>
      </c>
    </row>
    <row r="12" ht="42" customHeight="1">
      <c r="A12" s="6" t="inlineStr">
        <is>
          <t>Business Glossary</t>
        </is>
      </c>
      <c r="B12" s="11" t="inlineStr">
        <is>
          <t>DECLARE</t>
        </is>
      </c>
      <c r="C12" s="4" t="inlineStr">
        <is>
          <t>PREVIEW soon</t>
        </is>
      </c>
      <c r="D12" s="4" t="inlineStr">
        <is>
          <t>Authoritative business terms/definitions linked to columns; Genie Code drafts, team curates.</t>
        </is>
      </c>
      <c r="E12" s="4" t="inlineStr">
        <is>
          <t>What does this term MEAN?</t>
        </is>
      </c>
      <c r="F12" s="4" t="inlineStr">
        <is>
          <t>UC → Glossary → create term → link assets.</t>
        </is>
      </c>
      <c r="G12" s="4" t="inlineStr">
        <is>
          <t>No</t>
        </is>
      </c>
      <c r="H12" s="4">
        <f> entity definitions (the 'what it IS' layer). entity.question = synonym seed.</f>
        <v/>
      </c>
    </row>
    <row r="13" ht="42" customHeight="1">
      <c r="A13" s="6" t="inlineStr">
        <is>
          <t>Domains</t>
        </is>
      </c>
      <c r="B13" s="11" t="inlineStr">
        <is>
          <t>DECLARE</t>
        </is>
      </c>
      <c r="C13" s="4" t="inlineStr">
        <is>
          <t>PUBLIC PREVIEW</t>
        </is>
      </c>
      <c r="D13" s="4" t="inlineStr">
        <is>
          <t>Business-aligned grouping of tables, dashboards AND agents → scoped context.</t>
        </is>
      </c>
      <c r="E13" s="4" t="inlineStr">
        <is>
          <t>Which slice should the agent see?</t>
        </is>
      </c>
      <c r="F13" s="4" t="inlineStr">
        <is>
          <t>UC → Domains → create → assign assets/agent. AI-suggested domains coming.</t>
        </is>
      </c>
      <c r="G13" s="4" t="inlineStr">
        <is>
          <t>No</t>
        </is>
      </c>
      <c r="H13" s="4" t="inlineStr">
        <is>
          <t>Scoping construct; can start from a schema but is business-aligned.</t>
        </is>
      </c>
    </row>
    <row r="14" ht="42" customHeight="1">
      <c r="A14" s="6" t="inlineStr">
        <is>
          <t>Metrics / Metric Views</t>
        </is>
      </c>
      <c r="B14" s="11" t="inlineStr">
        <is>
          <t>DECLARE</t>
        </is>
      </c>
      <c r="C14" s="4" t="inlineStr">
        <is>
          <t>GA (Apr'26, OSS)</t>
        </is>
      </c>
      <c r="D14" s="4" t="inlineStr">
        <is>
          <t>Measures + dimensions + relationships defined once; multi-fact, LOD, parameterized, materializable.</t>
        </is>
      </c>
      <c r="E14" s="4" t="inlineStr">
        <is>
          <t>How is this NUMBER calculated?</t>
        </is>
      </c>
      <c r="F14" s="4" t="inlineStr">
        <is>
          <t>CREATE VIEW ... WITH METRICS (YAML) in UC.</t>
        </is>
      </c>
      <c r="G14" s="4" t="inlineStr">
        <is>
          <t>YES — counts as a data object</t>
        </is>
      </c>
      <c r="H14" s="4">
        <f> the semantic/computation layer (the 'how to compute' half).</f>
        <v/>
      </c>
    </row>
    <row r="15" ht="42" customHeight="1">
      <c r="A15" s="6" t="inlineStr">
        <is>
          <t>Instructions (general text)</t>
        </is>
      </c>
      <c r="B15" s="11" t="inlineStr">
        <is>
          <t>DECLARE</t>
        </is>
      </c>
      <c r="C15" s="4" t="inlineStr">
        <is>
          <t>GA</t>
        </is>
      </c>
      <c r="D15" s="4" t="inlineStr">
        <is>
          <t>Plain-language rules ('base_threshold is a COPY'; 'exclude cancelled').</t>
        </is>
      </c>
      <c r="E15" s="4" t="inlineStr">
        <is>
          <t>Org-specific logic Genie can't guess</t>
        </is>
      </c>
      <c r="F15" s="4" t="inlineStr">
        <is>
          <t>Configure → Instructions → Text tab.</t>
        </is>
      </c>
      <c r="G15" s="4" t="inlineStr">
        <is>
          <t>No (whole block = 1 of 100 instr.)</t>
        </is>
      </c>
      <c r="H15" s="4" t="inlineStr">
        <is>
          <t>Encodes table_mapping roles (copy/grain) &amp; axioms.</t>
        </is>
      </c>
    </row>
    <row r="16" ht="42" customHeight="1">
      <c r="A16" s="6" t="inlineStr">
        <is>
          <t>Example SQL / benchmarks</t>
        </is>
      </c>
      <c r="B16" s="11" t="inlineStr">
        <is>
          <t>DECLARE</t>
        </is>
      </c>
      <c r="C16" s="4" t="inlineStr">
        <is>
          <t>GA</t>
        </is>
      </c>
      <c r="D16" s="4" t="inlineStr">
        <is>
          <t>NL-question + correct-SQL pairs Genie learns from.</t>
        </is>
      </c>
      <c r="E16" s="4" t="inlineStr">
        <is>
          <t>Teach the right joins/patterns</t>
        </is>
      </c>
      <c r="F16" s="4" t="inlineStr">
        <is>
          <t>Configure → Instructions → SQL Queries tab.</t>
        </is>
      </c>
      <c r="G16" s="4" t="inlineStr">
        <is>
          <t>No (each = 1 of 100 instr.)</t>
        </is>
      </c>
      <c r="H16" s="4" t="inlineStr">
        <is>
          <t>Demonstrates conformance joins &amp; the grain-trap guard.</t>
        </is>
      </c>
    </row>
    <row r="17" ht="42" customHeight="1">
      <c r="A17" s="6" t="inlineStr">
        <is>
          <t>Trusted assets (UDFs + params)</t>
        </is>
      </c>
      <c r="B17" s="11" t="inlineStr">
        <is>
          <t>DECLARE</t>
        </is>
      </c>
      <c r="C17" s="4" t="inlineStr">
        <is>
          <t>GA</t>
        </is>
      </c>
      <c r="D17" s="4" t="inlineStr">
        <is>
          <t>Verified answers: parameterized queries + UC SQL functions. Returns 'trusted', not fresh SQL.</t>
        </is>
      </c>
      <c r="E17" s="4" t="inlineStr">
        <is>
          <t>Guarantee the high-stakes answer</t>
        </is>
      </c>
      <c r="F17" s="4" t="inlineStr">
        <is>
          <t>CREATE FUNCTION ...; add under SQL Queries.</t>
        </is>
      </c>
      <c r="G17" s="4" t="inlineStr">
        <is>
          <t>No (each fn = 1 of 100 instr.)</t>
        </is>
      </c>
      <c r="H17" s="4">
        <f> your resolution_for / tables_implementing / relationships_of.</f>
        <v/>
      </c>
    </row>
    <row r="18" ht="42" customHeight="1">
      <c r="A18" s="6" t="inlineStr">
        <is>
          <t>Join relationships</t>
        </is>
      </c>
      <c r="B18" s="11" t="inlineStr">
        <is>
          <t>DECLARE</t>
        </is>
      </c>
      <c r="C18" s="4" t="inlineStr">
        <is>
          <t>GA</t>
        </is>
      </c>
      <c r="D18" s="4" t="inlineStr">
        <is>
          <t>Declared table-to-table joins so Genie builds correct JOINs.</t>
        </is>
      </c>
      <c r="E18" s="4" t="inlineStr">
        <is>
          <t>How do these tables connect?</t>
        </is>
      </c>
      <c r="F18" s="4" t="inlineStr">
        <is>
          <t>Configure → Data → Define join relationships.</t>
        </is>
      </c>
      <c r="G18" s="4" t="inlineStr">
        <is>
          <t>No (part of 200 knowledge-store)</t>
        </is>
      </c>
      <c r="H18" s="4" t="inlineStr">
        <is>
          <t>The fact↔xref↔master path from table_mapping.</t>
        </is>
      </c>
    </row>
    <row r="19" ht="42" customHeight="1">
      <c r="A19" s="6" t="inlineStr">
        <is>
          <t>Synonyms / prompt matching</t>
        </is>
      </c>
      <c r="B19" s="11" t="inlineStr">
        <is>
          <t>DECLARE</t>
        </is>
      </c>
      <c r="C19" s="4" t="inlineStr">
        <is>
          <t>GA</t>
        </is>
      </c>
      <c r="D19" s="4" t="inlineStr">
        <is>
          <t>Map business words &amp; values to columns; fix misspellings; match to real values.</t>
        </is>
      </c>
      <c r="E19" s="4" t="inlineStr">
        <is>
          <t>Resolve aliases like 'Central 1'</t>
        </is>
      </c>
      <c r="F19" s="4" t="inlineStr">
        <is>
          <t>Configure → Data → column synonyms / prompt matching.</t>
        </is>
      </c>
      <c r="G19" s="4" t="inlineStr">
        <is>
          <t>No</t>
        </is>
      </c>
      <c r="H19" s="4" t="inlineStr">
        <is>
          <t>Value-level aliases (NOT glossary): 'Central 1'→BCCU.</t>
        </is>
      </c>
    </row>
    <row r="20" ht="42" customHeight="1">
      <c r="A20" s="6" t="inlineStr">
        <is>
          <t>Knowledge store</t>
        </is>
      </c>
      <c r="B20" s="11" t="inlineStr">
        <is>
          <t>DECLARE</t>
        </is>
      </c>
      <c r="C20" s="4" t="inlineStr">
        <is>
          <t>GA</t>
        </is>
      </c>
      <c r="D20" s="4" t="inlineStr">
        <is>
          <t>Per-agent bundle of descriptions, joins, SQL expressions, prompt matching. Scoped to the agent only.</t>
        </is>
      </c>
      <c r="E20" s="4" t="inlineStr">
        <is>
          <t>Local semantics for this agent</t>
        </is>
      </c>
      <c r="F20" s="4" t="inlineStr">
        <is>
          <t>Configure → Data / Instructions.</t>
        </is>
      </c>
      <c r="G20" s="4" t="inlineStr">
        <is>
          <t>Descriptions/joins/expr share 200 cap</t>
        </is>
      </c>
      <c r="H20" s="4" t="inlineStr">
        <is>
          <t>Agent-local; does NOT alter UC metadata.</t>
        </is>
      </c>
    </row>
    <row r="21" ht="42" customHeight="1">
      <c r="A21" s="5" t="inlineStr">
        <is>
          <t>Lineage (incl. External, GA)</t>
        </is>
      </c>
      <c r="B21" s="13" t="inlineStr">
        <is>
          <t>STRUCT</t>
        </is>
      </c>
      <c r="C21" s="4" t="inlineStr">
        <is>
          <t>GA</t>
        </is>
      </c>
      <c r="D21" s="4" t="inlineStr">
        <is>
          <t>Column-level flow, now spanning beyond Databricks (upstream sources + downstream BI).</t>
        </is>
      </c>
      <c r="E21" s="4" t="inlineStr">
        <is>
          <t>Where did this column come from?</t>
        </is>
      </c>
      <c r="F21" s="4" t="inlineStr">
        <is>
          <t>Automatic in UC; register external assets.</t>
        </is>
      </c>
      <c r="G21" s="4" t="inlineStr">
        <is>
          <t>No</t>
        </is>
      </c>
      <c r="H21" s="4" t="inlineStr">
        <is>
          <t>Best signal to RECOVER embedded entities from a denormalized fact.</t>
        </is>
      </c>
    </row>
    <row r="22" ht="42" customHeight="1">
      <c r="A22" s="5" t="inlineStr">
        <is>
          <t>Audit / system tables</t>
        </is>
      </c>
      <c r="B22" s="13" t="inlineStr">
        <is>
          <t>STRUCT</t>
        </is>
      </c>
      <c r="C22" s="4" t="inlineStr">
        <is>
          <t>GA</t>
        </is>
      </c>
      <c r="D22" s="4" t="inlineStr">
        <is>
          <t>Every Genie/agent action recorded; on-behalf-of permissions.</t>
        </is>
      </c>
      <c r="E22" s="4" t="inlineStr">
        <is>
          <t>Who asked/answered what?</t>
        </is>
      </c>
      <c r="F22" s="4" t="inlineStr">
        <is>
          <t>system.* tables; query history.</t>
        </is>
      </c>
      <c r="G22" s="4" t="inlineStr">
        <is>
          <t>No</t>
        </is>
      </c>
      <c r="H22" s="4" t="inlineStr">
        <is>
          <t>Your evidence trail; complements semantic_divergence receipts.</t>
        </is>
      </c>
    </row>
    <row r="23" ht="42" customHeight="1">
      <c r="A23" s="6" t="inlineStr">
        <is>
          <t>Unity AI Gateway</t>
        </is>
      </c>
      <c r="B23" s="11" t="inlineStr">
        <is>
          <t>DECLARE</t>
        </is>
      </c>
      <c r="C23" s="4" t="inlineStr">
        <is>
          <t>2026</t>
        </is>
      </c>
      <c r="D23" s="4" t="inlineStr">
        <is>
          <t>Central runtime registry in UC governing which models/skills can be called.</t>
        </is>
      </c>
      <c r="E23" s="4" t="inlineStr">
        <is>
          <t>Govern the AI, not just the data</t>
        </is>
      </c>
      <c r="F23" s="4" t="inlineStr">
        <is>
          <t>UC → AI Gateway.</t>
        </is>
      </c>
      <c r="G23" s="4" t="inlineStr">
        <is>
          <t>No</t>
        </is>
      </c>
      <c r="H23" s="4" t="inlineStr">
        <is>
          <t>Control point over agents touching risk data.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50" customWidth="1" min="4" max="4"/>
    <col width="44" customWidth="1" min="5" max="5"/>
  </cols>
  <sheetData>
    <row r="1" ht="22" customHeight="1">
      <c r="A1" s="1" t="inlineStr">
        <is>
          <t>Build order — the sequence that connects the dots</t>
        </is>
      </c>
    </row>
    <row r="2">
      <c r="A2" s="2" t="inlineStr">
        <is>
          <t>Structural first, then declare, then wire the agent, then serve &amp; test. Commands are illustrative (UI path or SQL).</t>
        </is>
      </c>
    </row>
    <row r="4">
      <c r="A4" s="9" t="inlineStr">
        <is>
          <t>#</t>
        </is>
      </c>
      <c r="B4" s="9" t="inlineStr">
        <is>
          <t>Step</t>
        </is>
      </c>
      <c r="C4" s="9" t="inlineStr">
        <is>
          <t>Bucket</t>
        </is>
      </c>
      <c r="D4" s="9" t="inlineStr">
        <is>
          <t>Command / UI action</t>
        </is>
      </c>
      <c r="E4" s="9" t="inlineStr">
        <is>
          <t>What it feeds / why</t>
        </is>
      </c>
    </row>
    <row r="5" ht="40" customHeight="1">
      <c r="A5" s="14" t="inlineStr">
        <is>
          <t>0</t>
        </is>
      </c>
      <c r="B5" s="5" t="inlineStr">
        <is>
          <t>Prereqs</t>
        </is>
      </c>
      <c r="C5" s="13" t="inlineStr">
        <is>
          <t>STRUCT</t>
        </is>
      </c>
      <c r="D5" s="4" t="inlineStr">
        <is>
          <t>Pro or serverless SQL warehouse; data in Unity Catalog; add table &amp; column COMMENTs.</t>
        </is>
      </c>
      <c r="E5" s="4" t="inlineStr">
        <is>
          <t>No comments = Genie guesses. Comments are the cheapest accuracy you'll buy.</t>
        </is>
      </c>
    </row>
    <row r="6" ht="40" customHeight="1">
      <c r="A6" s="14" t="inlineStr">
        <is>
          <t>1</t>
        </is>
      </c>
      <c r="B6" s="5" t="inlineStr">
        <is>
          <t>Confirm the MODEL</t>
        </is>
      </c>
      <c r="C6" s="13" t="inlineStr">
        <is>
          <t>STRUCT</t>
        </is>
      </c>
      <c r="D6" s="4" t="inlineStr">
        <is>
          <t>Author/validate ontology in Erwin/PowerDesigner + governance tables (entity, relationship, mapping).</t>
        </is>
      </c>
      <c r="E6" s="4" t="inlineStr">
        <is>
          <t>Source of truth for structure. Everything below is a projection of this.</t>
        </is>
      </c>
    </row>
    <row r="7" ht="40" customHeight="1">
      <c r="A7" s="14" t="inlineStr">
        <is>
          <t>2</t>
        </is>
      </c>
      <c r="B7" s="5" t="inlineStr">
        <is>
          <t>Build the PROJECTION</t>
        </is>
      </c>
      <c r="C7" s="13" t="inlineStr">
        <is>
          <t>STRUCT</t>
        </is>
      </c>
      <c r="D7" s="4" t="inlineStr">
        <is>
          <t>Create conformed dims + fact constellation in GOLD; prejoin to ≤30 objects/views.</t>
        </is>
      </c>
      <c r="E7" s="4" t="inlineStr">
        <is>
          <t>Serving shape under the 30-table cap; joins pre-done.</t>
        </is>
      </c>
    </row>
    <row r="8" ht="40" customHeight="1">
      <c r="A8" s="14" t="inlineStr">
        <is>
          <t>3</t>
        </is>
      </c>
      <c r="B8" s="6" t="inlineStr">
        <is>
          <t>Create METRIC VIEWS</t>
        </is>
      </c>
      <c r="C8" s="11" t="inlineStr">
        <is>
          <t>DECLARE</t>
        </is>
      </c>
      <c r="D8" s="4" t="inlineStr">
        <is>
          <t>CREATE VIEW collateral_gold.mv_positions WITH METRICS ... (measures + dimensions, YAML).</t>
        </is>
      </c>
      <c r="E8" s="4" t="inlineStr">
        <is>
          <t>The 'how to compute' layer; consistent number across SQL/BI/Genie.</t>
        </is>
      </c>
    </row>
    <row r="9" ht="40" customHeight="1">
      <c r="A9" s="14" t="inlineStr">
        <is>
          <t>4</t>
        </is>
      </c>
      <c r="B9" s="6" t="inlineStr">
        <is>
          <t>Create the DOMAIN</t>
        </is>
      </c>
      <c r="C9" s="11" t="inlineStr">
        <is>
          <t>DECLARE</t>
        </is>
      </c>
      <c r="D9" s="4" t="inlineStr">
        <is>
          <t>UC → Domains → New 'Collateral' → assign Gold assets + the agent.</t>
        </is>
      </c>
      <c r="E9" s="4" t="inlineStr">
        <is>
          <t>Scopes the agent; feeds Ontology; enables Discover/marketplace.</t>
        </is>
      </c>
    </row>
    <row r="10" ht="40" customHeight="1">
      <c r="A10" s="14" t="inlineStr">
        <is>
          <t>5</t>
        </is>
      </c>
      <c r="B10" s="6" t="inlineStr">
        <is>
          <t>Create GLOSSARY terms</t>
        </is>
      </c>
      <c r="C10" s="11" t="inlineStr">
        <is>
          <t>DECLARE</t>
        </is>
      </c>
      <c r="D10" s="4" t="inlineStr">
        <is>
          <t>UC → Glossary → 'Eligible Collateral' etc.; link to columns. (Genie Code can draft.)</t>
        </is>
      </c>
      <c r="E10" s="4" t="inlineStr">
        <is>
          <t>The 'what it means' layer; from your entity definitions.</t>
        </is>
      </c>
    </row>
    <row r="11" ht="40" customHeight="1">
      <c r="A11" s="14" t="inlineStr">
        <is>
          <t>6</t>
        </is>
      </c>
      <c r="B11" s="6" t="inlineStr">
        <is>
          <t>Register RESOLUTION UDFs</t>
        </is>
      </c>
      <c r="C11" s="11" t="inlineStr">
        <is>
          <t>DECLARE</t>
        </is>
      </c>
      <c r="D11" s="4" t="inlineStr">
        <is>
          <t>CREATE FUNCTION governance.resolve_cmos_cpty(...); + tables_implementing / relationships_of / resolution_for.</t>
        </is>
      </c>
      <c r="E11" s="4" t="inlineStr">
        <is>
          <t>Governed resolvers &amp; model-server-in-SQL; become trusted assets.</t>
        </is>
      </c>
    </row>
    <row r="12" ht="40" customHeight="1">
      <c r="A12" s="14" t="inlineStr">
        <is>
          <t>7</t>
        </is>
      </c>
      <c r="B12" s="8" t="inlineStr">
        <is>
          <t>Create the GENIE AGENT</t>
        </is>
      </c>
      <c r="C12" s="10" t="inlineStr">
        <is>
          <t>SURFACE</t>
        </is>
      </c>
      <c r="D12" s="4" t="inlineStr">
        <is>
          <t>Genie → New → add data assets: metric views FIRST, then views/tables (≤30).</t>
        </is>
      </c>
      <c r="E12" s="4" t="inlineStr">
        <is>
          <t>The container. Metric-view-first keeps you under the cap.</t>
        </is>
      </c>
    </row>
    <row r="13" ht="40" customHeight="1">
      <c r="A13" s="14" t="inlineStr">
        <is>
          <t>8</t>
        </is>
      </c>
      <c r="B13" s="6" t="inlineStr">
        <is>
          <t>Add JOIN relationships</t>
        </is>
      </c>
      <c r="C13" s="11" t="inlineStr">
        <is>
          <t>DECLARE</t>
        </is>
      </c>
      <c r="D13" s="4" t="inlineStr">
        <is>
          <t>Configure → Data → Define join relationships (fact → xref → master).</t>
        </is>
      </c>
      <c r="E13" s="4" t="inlineStr">
        <is>
          <t>So Genie builds correct joins incl. entity resolution path.</t>
        </is>
      </c>
    </row>
    <row r="14" ht="40" customHeight="1">
      <c r="A14" s="14" t="inlineStr">
        <is>
          <t>9</t>
        </is>
      </c>
      <c r="B14" s="6" t="inlineStr">
        <is>
          <t>Add SYNONYMS / prompt matching</t>
        </is>
      </c>
      <c r="C14" s="11" t="inlineStr">
        <is>
          <t>DECLARE</t>
        </is>
      </c>
      <c r="D14" s="4" t="inlineStr">
        <is>
          <t>Configure → Data → synonyms; prompt matching for values.</t>
        </is>
      </c>
      <c r="E14" s="4" t="inlineStr">
        <is>
          <t>'Central 1'→BCCU; misspellings; match to real values.</t>
        </is>
      </c>
    </row>
    <row r="15" ht="40" customHeight="1">
      <c r="A15" s="14" t="inlineStr">
        <is>
          <t>10</t>
        </is>
      </c>
      <c r="B15" s="6" t="inlineStr">
        <is>
          <t>Add INSTRUCTIONS (text)</t>
        </is>
      </c>
      <c r="C15" s="11" t="inlineStr">
        <is>
          <t>DECLARE</t>
        </is>
      </c>
      <c r="D15" s="4" t="inlineStr">
        <is>
          <t>Configure → Instructions → Text: grain notes, copy-column warnings, resolution rule.</t>
        </is>
      </c>
      <c r="E15" s="4" t="inlineStr">
        <is>
          <t>Stops the grain trap; encodes axioms &amp; mapping roles.</t>
        </is>
      </c>
    </row>
    <row r="16" ht="40" customHeight="1">
      <c r="A16" s="14" t="inlineStr">
        <is>
          <t>11</t>
        </is>
      </c>
      <c r="B16" s="6" t="inlineStr">
        <is>
          <t>Add EXAMPLE SQL / benchmarks</t>
        </is>
      </c>
      <c r="C16" s="11" t="inlineStr">
        <is>
          <t>DECLARE</t>
        </is>
      </c>
      <c r="D16" s="4" t="inlineStr">
        <is>
          <t>Configure → Instructions → SQL Queries: NL + exact SQL, incl. the grain-trap test.</t>
        </is>
      </c>
      <c r="E16" s="4" t="inlineStr">
        <is>
          <t>Teaches joins; benchmark validates before rollout.</t>
        </is>
      </c>
    </row>
    <row r="17" ht="40" customHeight="1">
      <c r="A17" s="14" t="inlineStr">
        <is>
          <t>12</t>
        </is>
      </c>
      <c r="B17" s="6" t="inlineStr">
        <is>
          <t>Add TRUSTED assets</t>
        </is>
      </c>
      <c r="C17" s="11" t="inlineStr">
        <is>
          <t>DECLARE</t>
        </is>
      </c>
      <c r="D17" s="4" t="inlineStr">
        <is>
          <t>Add parameterized queries + the UC functions as trusted.</t>
        </is>
      </c>
      <c r="E17" s="4" t="inlineStr">
        <is>
          <t>Verified answers for recurring high-stakes questions.</t>
        </is>
      </c>
    </row>
    <row r="18" ht="40" customHeight="1">
      <c r="A18" s="14" t="inlineStr">
        <is>
          <t>13</t>
        </is>
      </c>
      <c r="B18" s="6" t="inlineStr">
        <is>
          <t>Publish over MCP</t>
        </is>
      </c>
      <c r="C18" s="11" t="inlineStr">
        <is>
          <t>DECLARE</t>
        </is>
      </c>
      <c r="D18" s="4" t="inlineStr">
        <is>
          <t>Expose agent + UC functions via managed MCP.</t>
        </is>
      </c>
      <c r="E18" s="4" t="inlineStr">
        <is>
          <t>Agents call governed tools; on-behalf-of; logged to system tables.</t>
        </is>
      </c>
    </row>
    <row r="19" ht="40" customHeight="1">
      <c r="A19" s="14" t="inlineStr">
        <is>
          <t>14</t>
        </is>
      </c>
      <c r="B19" s="8" t="inlineStr">
        <is>
          <t>TEST</t>
        </is>
      </c>
      <c r="C19" s="10" t="inlineStr">
        <is>
          <t>SURFACE</t>
        </is>
      </c>
      <c r="D19" s="4" t="inlineStr">
        <is>
          <t>Run benchmarks: grain trap ('avg threshold per event') + traversal ('dispute→event→movements').</t>
        </is>
      </c>
      <c r="E19" s="4" t="inlineStr">
        <is>
          <t>Proves declarations work; catches plausible-nonsense.</t>
        </is>
      </c>
    </row>
    <row r="20" ht="40" customHeight="1">
      <c r="A20" s="14" t="inlineStr">
        <is>
          <t>15</t>
        </is>
      </c>
      <c r="B20" s="6" t="inlineStr">
        <is>
          <t>GOVERN the loop</t>
        </is>
      </c>
      <c r="C20" s="11" t="inlineStr">
        <is>
          <t>DECLARE</t>
        </is>
      </c>
      <c r="D20" s="4" t="inlineStr">
        <is>
          <t>Route Ontology/AI-drafted mappings into entity_detection; confirm before serve.</t>
        </is>
      </c>
      <c r="E20" s="4" t="inlineStr">
        <is>
          <t>Quarantine gate — nothing serves until status='confirmed'.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44" customWidth="1" min="4" max="4"/>
  </cols>
  <sheetData>
    <row r="1" ht="22" customHeight="1">
      <c r="A1" s="1" t="inlineStr">
        <is>
          <t>How to tell Genie to resolve entities via a reference / xref table</t>
        </is>
      </c>
    </row>
    <row r="2">
      <c r="A2" s="2" t="inlineStr">
        <is>
          <t>Your question: how does Genie know to route through reference data? Five mechanisms, weakest → strongest. Use several together.</t>
        </is>
      </c>
    </row>
    <row r="4">
      <c r="A4" s="9" t="inlineStr">
        <is>
          <t>Mechanism</t>
        </is>
      </c>
      <c r="B4" s="9" t="inlineStr">
        <is>
          <t>Trust</t>
        </is>
      </c>
      <c r="C4" s="9" t="inlineStr">
        <is>
          <t>How you set it (command)</t>
        </is>
      </c>
      <c r="D4" s="9" t="inlineStr">
        <is>
          <t>Use it for</t>
        </is>
      </c>
    </row>
    <row r="5" ht="40" customHeight="1">
      <c r="A5" s="6" t="inlineStr">
        <is>
          <t>Synonyms / prompt matching</t>
        </is>
      </c>
      <c r="B5" s="15" t="inlineStr">
        <is>
          <t>Low</t>
        </is>
      </c>
      <c r="C5" s="4" t="inlineStr">
        <is>
          <t>Configure → Data → column synonyms; prompt matching to real values.</t>
        </is>
      </c>
      <c r="D5" s="4" t="inlineStr">
        <is>
          <t>Value aliases &amp; misspellings: 'Central 1' → BCCU. NOT the join itself.</t>
        </is>
      </c>
    </row>
    <row r="6" ht="40" customHeight="1">
      <c r="A6" s="6" t="inlineStr">
        <is>
          <t>Join relationships</t>
        </is>
      </c>
      <c r="B6" s="15" t="inlineStr">
        <is>
          <t>Med</t>
        </is>
      </c>
      <c r="C6" s="4" t="inlineStr">
        <is>
          <t>Configure → Data → Define join relationships: fact.cpty_code → xref → master.cp_code.</t>
        </is>
      </c>
      <c r="D6" s="4" t="inlineStr">
        <is>
          <t>Letting Genie construct the correct multi-hop JOIN automatically.</t>
        </is>
      </c>
    </row>
    <row r="7" ht="40" customHeight="1">
      <c r="A7" s="6" t="inlineStr">
        <is>
          <t>Instructions (text rule)</t>
        </is>
      </c>
      <c r="B7" s="15" t="inlineStr">
        <is>
          <t>Med</t>
        </is>
      </c>
      <c r="C7" s="4" t="inlineStr">
        <is>
          <t>Instructions → Text: 'Always resolve counterparty via reference.cpty_xref; never use raw cpty_code.'</t>
        </is>
      </c>
      <c r="D7" s="4" t="inlineStr">
        <is>
          <t>Making the resolution path mandatory, in words.</t>
        </is>
      </c>
    </row>
    <row r="8" ht="40" customHeight="1">
      <c r="A8" s="6" t="inlineStr">
        <is>
          <t>Example SQL / benchmark</t>
        </is>
      </c>
      <c r="B8" s="15" t="inlineStr">
        <is>
          <t>High</t>
        </is>
      </c>
      <c r="C8" s="4" t="inlineStr">
        <is>
          <t>Instructions → SQL Queries: a question paired with the exact xref-join SQL.</t>
        </is>
      </c>
      <c r="D8" s="4" t="inlineStr">
        <is>
          <t>Teaching the pattern by demonstration; validating it.</t>
        </is>
      </c>
    </row>
    <row r="9" ht="40" customHeight="1">
      <c r="A9" s="6" t="inlineStr">
        <is>
          <t>Resolution UDF (trusted)</t>
        </is>
      </c>
      <c r="B9" s="15" t="inlineStr">
        <is>
          <t>Highest</t>
        </is>
      </c>
      <c r="C9" s="4" t="inlineStr">
        <is>
          <t>CREATE FUNCTION governance.resolve_cmos_cpty(code) ...; add as trusted; serve via MCP.</t>
        </is>
      </c>
      <c r="D9" s="4" t="inlineStr">
        <is>
          <t>Deterministic, governed, logged resolution — your resolution_for pattern.</t>
        </is>
      </c>
    </row>
    <row r="11">
      <c r="A11" s="3" t="inlineStr">
        <is>
          <t>Rule of thumb</t>
        </is>
      </c>
      <c r="B11" s="4" t="inlineStr">
        <is>
          <t>Aliases in synonyms; the PATH in join relationships + a demonstrating example; the GOVERNED resolver as a UDF for anything audited. Don't rely on Genie inferring the xref — declare it.</t>
        </is>
      </c>
      <c r="C11" s="20" t="n"/>
      <c r="D11" s="21" t="n"/>
    </row>
  </sheetData>
  <mergeCells count="3">
    <mergeCell ref="A1:D1"/>
    <mergeCell ref="B11:D1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30" customWidth="1" min="4" max="4"/>
  </cols>
  <sheetData>
    <row r="1" ht="22" customHeight="1">
      <c r="A1" s="1" t="inlineStr">
        <is>
          <t>Your governance tables → where each lands in the Genie world</t>
        </is>
      </c>
    </row>
    <row r="2">
      <c r="A2" s="2" t="inlineStr">
        <is>
          <t>The verdict at a glance: some tables feed Genie, some have NO Genie equivalent and stay your system-of-record.</t>
        </is>
      </c>
    </row>
    <row r="4">
      <c r="A4" s="9" t="inlineStr">
        <is>
          <t>Your object (EXTENSIONS schema)</t>
        </is>
      </c>
      <c r="B4" s="9" t="inlineStr">
        <is>
          <t>Genie / UC equivalent</t>
        </is>
      </c>
      <c r="C4" s="9" t="inlineStr">
        <is>
          <t>Relationship</t>
        </is>
      </c>
      <c r="D4" s="9" t="inlineStr">
        <is>
          <t>Keep as source-of-truth?</t>
        </is>
      </c>
    </row>
    <row r="5" ht="42" customHeight="1">
      <c r="A5" s="5" t="inlineStr">
        <is>
          <t>entity (shared meanings + question)</t>
        </is>
      </c>
      <c r="B5" s="4" t="inlineStr">
        <is>
          <t>Business Glossary + entity synonyms</t>
        </is>
      </c>
      <c r="C5" s="4" t="inlineStr">
        <is>
          <t>entity.question seeds synonyms; definition → glossary term.</t>
        </is>
      </c>
      <c r="D5" s="13" t="inlineStr">
        <is>
          <t>YES — glossary is a projection of it.</t>
        </is>
      </c>
    </row>
    <row r="6" ht="42" customHeight="1">
      <c r="A6" s="5" t="inlineStr">
        <is>
          <t>relationship (the verbs)</t>
        </is>
      </c>
      <c r="B6" s="4" t="inlineStr">
        <is>
          <t>Join relationships + Genie Ontology edges</t>
        </is>
      </c>
      <c r="C6" s="4" t="inlineStr">
        <is>
          <t>You DECLARE; Genie also INFERS a version. Yours is authoritative.</t>
        </is>
      </c>
      <c r="D6" s="13" t="inlineStr">
        <is>
          <t>YES — inferred graph isn't defensible.</t>
        </is>
      </c>
    </row>
    <row r="7" ht="42" customHeight="1">
      <c r="A7" s="5" t="inlineStr">
        <is>
          <t>table_mapping (roles + resolution)</t>
        </is>
      </c>
      <c r="B7" s="4" t="inlineStr">
        <is>
          <t>Column descriptions + join rels + resolution UDFs</t>
        </is>
      </c>
      <c r="C7" s="4" t="inlineStr">
        <is>
          <t>'copy'/'grain' roles → instructions; resolution → SQL function.</t>
        </is>
      </c>
      <c r="D7" s="13" t="inlineStr">
        <is>
          <t>YES — Genie has no governed conformance artifact.</t>
        </is>
      </c>
    </row>
    <row r="8" ht="42" customHeight="1">
      <c r="A8" s="5" t="inlineStr">
        <is>
          <t>entity_alignment (Risk↔CDM superset)</t>
        </is>
      </c>
      <c r="B8" s="4" t="inlineStr">
        <is>
          <t>(no native equivalent)</t>
        </is>
      </c>
      <c r="C8" s="4" t="inlineStr">
        <is>
          <t>Can inform Domains/Glossary, but not inferable.</t>
        </is>
      </c>
      <c r="D8" s="13" t="inlineStr">
        <is>
          <t>YES — organizational decision artifact.</t>
        </is>
      </c>
    </row>
    <row r="9" ht="42" customHeight="1">
      <c r="A9" s="5" t="inlineStr">
        <is>
          <t>semantic_divergence (receipts)</t>
        </is>
      </c>
      <c r="B9" s="4" t="inlineStr">
        <is>
          <t>(no native equivalent — OntoRank HIDES divergence)</t>
        </is>
      </c>
      <c r="C9" s="4" t="inlineStr">
        <is>
          <t>Opposite of ranking-to-one-winner; you need dated evidence.</t>
        </is>
      </c>
      <c r="D9" s="13" t="inlineStr">
        <is>
          <t>YES — BCBS-239 evidence.</t>
        </is>
      </c>
    </row>
    <row r="10" ht="42" customHeight="1">
      <c r="A10" s="5" t="inlineStr">
        <is>
          <t>entity_detection (QUARANTINE)</t>
        </is>
      </c>
      <c r="B10" s="4" t="inlineStr">
        <is>
          <t>Genie Ontology inference = the DRAFT source</t>
        </is>
      </c>
      <c r="C10" s="4" t="inlineStr">
        <is>
          <t>Let Genie/AI draft INTO it; your confirm-gate stays.</t>
        </is>
      </c>
      <c r="D10" s="13" t="inlineStr">
        <is>
          <t>YES — the gate is the key control.</t>
        </is>
      </c>
    </row>
    <row r="11" ht="42" customHeight="1">
      <c r="A11" s="5" t="inlineStr">
        <is>
          <t>entity_signature (fingerprints)</t>
        </is>
      </c>
      <c r="B11" s="4" t="inlineStr">
        <is>
          <t>Ontology learning + column popularity</t>
        </is>
      </c>
      <c r="C11" s="4" t="inlineStr">
        <is>
          <t>Overlaps; keep yours deterministic/inspectable.</t>
        </is>
      </c>
      <c r="D11" s="13" t="inlineStr">
        <is>
          <t>YES — reproducibility.</t>
        </is>
      </c>
    </row>
    <row r="12" ht="42" customHeight="1">
      <c r="A12" s="5" t="inlineStr">
        <is>
          <t>UDFs: tables_implementing / relationships_of / resolution_for</t>
        </is>
      </c>
      <c r="B12" s="4" t="inlineStr">
        <is>
          <t>Trusted assets / SQL functions over MCP</t>
        </is>
      </c>
      <c r="C12" s="4" t="inlineStr">
        <is>
          <t>Directly become the served, governed tools. Do NOT count vs 30-table cap.</t>
        </is>
      </c>
      <c r="D12" s="13" t="inlineStr">
        <is>
          <t>YES — this is your model-server-in-SQL.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34" customWidth="1" min="3" max="3"/>
  </cols>
  <sheetData>
    <row r="1" ht="22" customHeight="1">
      <c r="A1" s="1" t="inlineStr">
        <is>
          <t>Your specific questions — answered &amp; captured</t>
        </is>
      </c>
    </row>
    <row r="2">
      <c r="A2" s="2" t="inlineStr">
        <is>
          <t>So the decisions don't get lost. VERIFY tags = confirm on your edition.</t>
        </is>
      </c>
    </row>
    <row r="4">
      <c r="A4" s="9" t="inlineStr">
        <is>
          <t>Question</t>
        </is>
      </c>
      <c r="B4" s="9" t="inlineStr">
        <is>
          <t>Answer</t>
        </is>
      </c>
      <c r="C4" s="9" t="inlineStr">
        <is>
          <t>So what / action</t>
        </is>
      </c>
    </row>
    <row r="5" ht="60" customHeight="1">
      <c r="A5" s="16" t="inlineStr">
        <is>
          <t>Each risk app has its own schema (e.g. CMOS). Can I just give the SCHEMA NAME to identify the domain?</t>
        </is>
      </c>
      <c r="B5" s="4" t="inlineStr">
        <is>
          <t>For a UC DOMAIN: yes as a starting point — you can align a domain to a schema, but a domain is business-aligned and can span or subset schemas. Domains group tables, dashboards AND agents.</t>
        </is>
      </c>
      <c r="C5" s="17" t="inlineStr">
        <is>
          <t>Create a 'Collateral' domain; assign the relevant CMOS/Colline schema objects + the agent.</t>
        </is>
      </c>
    </row>
    <row r="6" ht="60" customHeight="1">
      <c r="A6" s="16" t="inlineStr">
        <is>
          <t>Even for the ASSETS, can I just give the schema name?</t>
        </is>
      </c>
      <c r="B6" s="4" t="inlineStr">
        <is>
          <t>No. A Genie Agent takes up to 30 specific tables/views (or metric views) — you SELECT objects, you don't point it at a whole schema. If CMOS has &gt;30 tables, prejoin into views/metric views.</t>
        </is>
      </c>
      <c r="C6" s="17" t="inlineStr">
        <is>
          <t>Collapse CMOS into a handful of metric views before adding to the agent.</t>
        </is>
      </c>
    </row>
    <row r="7" ht="60" customHeight="1">
      <c r="A7" s="16" t="inlineStr">
        <is>
          <t>Does the 30-table limit include the ONTOLOGY objects (they're logical)?</t>
        </is>
      </c>
      <c r="B7" s="4" t="inlineStr">
        <is>
          <t>The cap counts DATA objects: tables, views, metric views. It does NOT count SQL functions (UDFs), example queries, instructions, or column descriptions. So your ontology-serving UDFs are 'free' vs the 30. Genie Ontology itself is account-level, not an asset.</t>
        </is>
      </c>
      <c r="C7" s="17" t="inlineStr">
        <is>
          <t>Serve the ontology via UDFs, not by adding governance tables as data assets — keeps the 30 for facts/dims.</t>
        </is>
      </c>
    </row>
    <row r="8" ht="60" customHeight="1">
      <c r="A8" s="16" t="inlineStr">
        <is>
          <t>The mappings connect the projections/facts to the ontology — where do they live?</t>
        </is>
      </c>
      <c r="B8" s="4" t="inlineStr">
        <is>
          <t>As JOIN relationships (part of the 200 knowledge-store limit) + resolution UDFs (each = 1 of 100 instructions) + column descriptions. Not as extra 'tables' in the agent.</t>
        </is>
      </c>
      <c r="C8" s="17" t="inlineStr">
        <is>
          <t>Encode table_mapping as join rels + resolution functions.</t>
        </is>
      </c>
    </row>
    <row r="9" ht="60" customHeight="1">
      <c r="A9" s="16" t="inlineStr">
        <is>
          <t>How do I tell Genie to resolve entities via a reference/xref table?</t>
        </is>
      </c>
      <c r="B9" s="4" t="inlineStr">
        <is>
          <t>Five layered mechanisms (see Tab 5): synonyms (aliases) → join relationships (the path) → instruction rule → example SQL → resolution UDF (strongest). Don't rely on inference.</t>
        </is>
      </c>
      <c r="C9" s="17" t="inlineStr">
        <is>
          <t>Declare the xref join + expose resolve_cmos_cpty as a trusted UDF.</t>
        </is>
      </c>
    </row>
    <row r="10" ht="60" customHeight="1">
      <c r="A10" s="16" t="inlineStr">
        <is>
          <t>We mentioned lineage &amp; audit — does Genie use them?</t>
        </is>
      </c>
      <c r="B10" s="4" t="inlineStr">
        <is>
          <t>Yes. Genie Ontology reads column-level LINEAGE (incl. External Lineage, GA) as a signal; audit/system tables log every action with on-behalf-of permissions. Lineage shows FLOW, not business meaning or rules.</t>
        </is>
      </c>
      <c r="C10" s="17" t="inlineStr">
        <is>
          <t>Lineage is your best lever to recover embedded entities from denormalized facts.</t>
        </is>
      </c>
    </row>
    <row r="11" ht="60" customHeight="1">
      <c r="A11" s="16" t="inlineStr">
        <is>
          <t>Can Genie auto-author the domain model from facts-only apps by profiling?</t>
        </is>
      </c>
      <c r="B11" s="4" t="inlineStr">
        <is>
          <t>Partially. It drafts from FKs, query history, lineage, comments, metric views. But embedded ≠ expressed: denormalized facts flatten relationships away, so it recovers least exactly there. It never authors cross-app conformance or the axioms.</t>
        </is>
      </c>
      <c r="C11" s="17" t="inlineStr">
        <is>
          <t>Use it to DRAFT into entity_detection; confirm before serve. Real modeling stays yours.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4" customWidth="1" min="3" max="3"/>
  </cols>
  <sheetData>
    <row r="1" ht="22" customHeight="1">
      <c r="A1" s="1" t="inlineStr">
        <is>
          <t>Hard numbers &amp; facts (Databricks docs, Jul 2026)</t>
        </is>
      </c>
    </row>
    <row r="2">
      <c r="A2" s="2" t="inlineStr">
        <is>
          <t>VERIFY = confirm on your cloud/edition; these move. Sources are Databricks/MS Learn docs.</t>
        </is>
      </c>
    </row>
    <row r="4">
      <c r="A4" s="9" t="inlineStr">
        <is>
          <t>Item</t>
        </is>
      </c>
      <c r="B4" s="9" t="inlineStr">
        <is>
          <t>Value</t>
        </is>
      </c>
      <c r="C4" s="9" t="inlineStr">
        <is>
          <t>Note</t>
        </is>
      </c>
    </row>
    <row r="5" ht="30" customHeight="1">
      <c r="A5" s="3" t="inlineStr">
        <is>
          <t>Tables/views per Genie Agent</t>
        </is>
      </c>
      <c r="B5" s="15" t="inlineStr">
        <is>
          <t>30</t>
        </is>
      </c>
      <c r="C5" s="4" t="inlineStr">
        <is>
          <t>Was 25; raised to 30 (2026). Metric views count as data objects.</t>
        </is>
      </c>
    </row>
    <row r="6" ht="30" customHeight="1">
      <c r="A6" s="3" t="inlineStr">
        <is>
          <t>Metric-view exclusivity</t>
        </is>
      </c>
      <c r="B6" s="15" t="inlineStr">
        <is>
          <t>VERIFY</t>
        </is>
      </c>
      <c r="C6" s="4" t="inlineStr">
        <is>
          <t>Older AWS doc: a space with metric views can't also include other tables/views. Confirm current.</t>
        </is>
      </c>
    </row>
    <row r="7" ht="30" customHeight="1">
      <c r="A7" s="3" t="inlineStr">
        <is>
          <t>Instructions per agent</t>
        </is>
      </c>
      <c r="B7" s="15" t="inlineStr">
        <is>
          <t>100</t>
        </is>
      </c>
      <c r="C7" s="4" t="inlineStr">
        <is>
          <t>Each example query, each SQL function, and the whole general-instructions block = 1 each.</t>
        </is>
      </c>
    </row>
    <row r="8" ht="30" customHeight="1">
      <c r="A8" s="3" t="inlineStr">
        <is>
          <t>Knowledge-store snippets</t>
        </is>
      </c>
      <c r="B8" s="15" t="inlineStr">
        <is>
          <t>200</t>
        </is>
      </c>
      <c r="C8" s="4" t="inlineStr">
        <is>
          <t>Table descriptions + join relationships + SQL expressions share this.</t>
        </is>
      </c>
    </row>
    <row r="9" ht="30" customHeight="1">
      <c r="A9" s="3" t="inlineStr">
        <is>
          <t>Conversations per agent</t>
        </is>
      </c>
      <c r="B9" s="15" t="inlineStr">
        <is>
          <t>10,000</t>
        </is>
      </c>
      <c r="C9" s="4" t="inlineStr">
        <is>
          <t>Each conversation up to 10,000 messages.</t>
        </is>
      </c>
    </row>
    <row r="10" ht="30" customHeight="1">
      <c r="A10" s="3" t="inlineStr">
        <is>
          <t>Throughput</t>
        </is>
      </c>
      <c r="B10" s="15" t="inlineStr">
        <is>
          <t>20 questions/min</t>
        </is>
      </c>
      <c r="C10" s="4" t="inlineStr">
        <is>
          <t>Per workspace, across all agents, via the UI.</t>
        </is>
      </c>
    </row>
    <row r="11" ht="30" customHeight="1">
      <c r="A11" s="3" t="inlineStr">
        <is>
          <t>Compute</t>
        </is>
      </c>
      <c r="B11" s="15" t="inlineStr">
        <is>
          <t>Pro or serverless SQL warehouse</t>
        </is>
      </c>
      <c r="C11" s="4" t="inlineStr">
        <is>
          <t>CAN USE required; creator credentials embedded for all users.</t>
        </is>
      </c>
    </row>
    <row r="12" ht="30" customHeight="1">
      <c r="A12" s="3" t="inlineStr">
        <is>
          <t>Governance</t>
        </is>
      </c>
      <c r="B12" s="15" t="inlineStr">
        <is>
          <t>Unity Catalog</t>
        </is>
      </c>
      <c r="C12" s="4" t="inlineStr">
        <is>
          <t>Data must be in UC; permissions enforced; on-behalf-of via MCP.</t>
        </is>
      </c>
    </row>
    <row r="13" ht="30" customHeight="1">
      <c r="A13" s="3" t="inlineStr">
        <is>
          <t>Genie Ontology status</t>
        </is>
      </c>
      <c r="B13" s="15" t="inlineStr">
        <is>
          <t>Public Preview</t>
        </is>
      </c>
      <c r="C13" s="4" t="inlineStr">
        <is>
          <t>Do NOT make it system-of-record for regulated meaning.</t>
        </is>
      </c>
    </row>
    <row r="14" ht="30" customHeight="1">
      <c r="A14" s="3" t="inlineStr">
        <is>
          <t>Metrics / Business Semantics</t>
        </is>
      </c>
      <c r="B14" s="15" t="inlineStr">
        <is>
          <t>GA + open-sourced (Apr 2026)</t>
        </is>
      </c>
      <c r="C14" s="4" t="inlineStr">
        <is>
          <t>Deterministic definitions; query via SQL/MCP/BI/Genie.</t>
        </is>
      </c>
    </row>
    <row r="15" ht="30" customHeight="1">
      <c r="A15" s="3" t="inlineStr">
        <is>
          <t>Domains</t>
        </is>
      </c>
      <c r="B15" s="15" t="inlineStr">
        <is>
          <t>Public Preview</t>
        </is>
      </c>
      <c r="C15" s="4" t="inlineStr">
        <is>
          <t>AI-suggested domains coming.</t>
        </is>
      </c>
    </row>
    <row r="16" ht="30" customHeight="1">
      <c r="A16" s="3" t="inlineStr">
        <is>
          <t>Business Glossary</t>
        </is>
      </c>
      <c r="B16" s="15" t="inlineStr">
        <is>
          <t>Preview coming soon</t>
        </is>
      </c>
      <c r="C16" s="4" t="inlineStr">
        <is>
          <t>Genie Code drafts; team curates.</t>
        </is>
      </c>
    </row>
    <row r="17" ht="30" customHeight="1">
      <c r="A17" s="3" t="inlineStr">
        <is>
          <t>Pricing</t>
        </is>
      </c>
      <c r="B17" s="15" t="inlineStr">
        <is>
          <t>Pay-as-you-go from 8 Jul 2026</t>
        </is>
      </c>
      <c r="C17" s="4" t="inlineStr">
        <is>
          <t>150 free DBUs/user/month (~$10.50 US East); budgets available.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64" customWidth="1" min="3" max="3"/>
  </cols>
  <sheetData>
    <row r="1" ht="22" customHeight="1">
      <c r="A1" s="1" t="inlineStr">
        <is>
          <t>Open items · to-verify · next steps</t>
        </is>
      </c>
    </row>
    <row r="2">
      <c r="A2" s="2" t="inlineStr">
        <is>
          <t>The running edge of the cheat sheet — add rows as we go.</t>
        </is>
      </c>
    </row>
    <row r="4">
      <c r="A4" s="9" t="inlineStr">
        <is>
          <t>Item</t>
        </is>
      </c>
      <c r="B4" s="9" t="inlineStr">
        <is>
          <t>Type</t>
        </is>
      </c>
      <c r="C4" s="9" t="inlineStr">
        <is>
          <t>Status / next action</t>
        </is>
      </c>
    </row>
    <row r="5" ht="34" customHeight="1">
      <c r="A5" s="3" t="inlineStr">
        <is>
          <t>Metric-view + tables exclusivity in one agent</t>
        </is>
      </c>
      <c r="B5" s="18" t="inlineStr">
        <is>
          <t>VERIFY</t>
        </is>
      </c>
      <c r="C5" s="4" t="inlineStr">
        <is>
          <t>Confirm on your edition whether a metric-view agent can also hold plain tables.</t>
        </is>
      </c>
    </row>
    <row r="6" ht="34" customHeight="1">
      <c r="A6" s="3" t="inlineStr">
        <is>
          <t>Does a Domain auto-scope a Genie Agent's assets?</t>
        </is>
      </c>
      <c r="B6" s="18" t="inlineStr">
        <is>
          <t>VERIFY</t>
        </is>
      </c>
      <c r="C6" s="4" t="inlineStr">
        <is>
          <t>Domains give 'scoped context'; confirm whether assignment auto-includes assets or is organizational only.</t>
        </is>
      </c>
    </row>
    <row r="7" ht="34" customHeight="1">
      <c r="A7" s="3" t="inlineStr">
        <is>
          <t>Is Genie Ontology enabled on your Databricks edition/region?</t>
        </is>
      </c>
      <c r="B7" s="18" t="inlineStr">
        <is>
          <t>VERIFY</t>
        </is>
      </c>
      <c r="C7" s="4" t="inlineStr">
        <is>
          <t>Preview availability varies; check before designing around it.</t>
        </is>
      </c>
    </row>
    <row r="8" ht="34" customHeight="1">
      <c r="A8" s="3" t="inlineStr">
        <is>
          <t>Managed MCP availability on your edition</t>
        </is>
      </c>
      <c r="B8" s="18" t="inlineStr">
        <is>
          <t>VERIFY</t>
        </is>
      </c>
      <c r="C8" s="4" t="inlineStr">
        <is>
          <t>From your runbook Sitting 3 — confirm Genie + UC-functions MCP endpoints.</t>
        </is>
      </c>
    </row>
    <row r="9" ht="34" customHeight="1">
      <c r="A9" s="3" t="inlineStr">
        <is>
          <t>Collibra vs UC Glossary — system of record?</t>
        </is>
      </c>
      <c r="B9" s="18" t="inlineStr">
        <is>
          <t>DECIDE</t>
        </is>
      </c>
      <c r="C9" s="4" t="inlineStr">
        <is>
          <t>You already run Collibra; decide authority + sync direction.</t>
        </is>
      </c>
    </row>
    <row r="10" ht="34" customHeight="1">
      <c r="A10" s="3" t="inlineStr">
        <is>
          <t>CSV / facts sufficiency check</t>
        </is>
      </c>
      <c r="B10" s="19" t="inlineStr">
        <is>
          <t>NEXT</t>
        </is>
      </c>
      <c r="C10" s="4" t="inlineStr">
        <is>
          <t>Upload collateral CSVs → score vs the ontology (entity coverage, grain, linking keys, conformance keys, axiom columns, measures, RI).</t>
        </is>
      </c>
    </row>
    <row r="11" ht="34" customHeight="1">
      <c r="A11" s="3" t="inlineStr">
        <is>
          <t>Metric view over positions_gold</t>
        </is>
      </c>
      <c r="B11" s="19" t="inlineStr">
        <is>
          <t>NEXT</t>
        </is>
      </c>
      <c r="C11" s="4" t="inlineStr">
        <is>
          <t>Draft measures (eligible_collateral_value additive) + dimensions (agreement_type, cp_code, asset_type) + grain note.</t>
        </is>
      </c>
    </row>
    <row r="12" ht="34" customHeight="1">
      <c r="A12" s="3" t="inlineStr">
        <is>
          <t>Constellation projection from collateral ontology</t>
        </is>
      </c>
      <c r="B12" s="19" t="inlineStr">
        <is>
          <t>NEXT</t>
        </is>
      </c>
      <c r="C12" s="4" t="inlineStr">
        <is>
          <t>Conformed dims + facts + the 4-5 traversal edges.</t>
        </is>
      </c>
    </row>
    <row r="13" ht="34" customHeight="1">
      <c r="A13" s="3" t="inlineStr">
        <is>
          <t>Metric-view generator from v5 registry</t>
        </is>
      </c>
      <c r="B13" s="19" t="inlineStr">
        <is>
          <t>NEXT</t>
        </is>
      </c>
      <c r="C13" s="4" t="inlineStr">
        <is>
          <t>Script: read filled registry → emit YAML (SUM for facts, COUNT for factless); flag report-level ratios + semi-additive gaps. See Tab 10.</t>
        </is>
      </c>
    </row>
    <row r="14" ht="34" customHeight="1">
      <c r="A14" s="3" t="inlineStr">
        <is>
          <t>Profiler build: consume UC inferences vs re-derive</t>
        </is>
      </c>
      <c r="B14" s="18" t="inlineStr">
        <is>
          <t>DECIDE</t>
        </is>
      </c>
      <c r="C14" s="4" t="inlineStr">
        <is>
          <t>Keep pre-population; consume UC names/types/lineage/joins; profiler adds only what UC can't infer. Reposition ask as 'arrives filled; confirm 5'. See Tab 11.</t>
        </is>
      </c>
    </row>
    <row r="15" ht="34" customHeight="1">
      <c r="A15" s="3" t="inlineStr">
        <is>
          <t>Author measure_safe_dims (semi-additive)</t>
        </is>
      </c>
      <c r="B15" s="18" t="inlineStr">
        <is>
          <t>DECIDE</t>
        </is>
      </c>
      <c r="C15" s="4" t="inlineStr">
        <is>
          <t>Currently deferred; needed for correct semi-additive metric-view measures.</t>
        </is>
      </c>
    </row>
    <row r="16" ht="34" customHeight="1">
      <c r="A16" s="3" t="inlineStr">
        <is>
          <t>Decide ratio-formula home (contract vs metric view)</t>
        </is>
      </c>
      <c r="B16" s="18" t="inlineStr">
        <is>
          <t>DECIDE</t>
        </is>
      </c>
      <c r="C16" s="4" t="inlineStr">
        <is>
          <t>report_level_only captures the boolean; the Sum(x)/Sum(y) formula still needs a home.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34" customWidth="1" min="3" max="3"/>
  </cols>
  <sheetData>
    <row r="1" ht="22" customHeight="1">
      <c r="A1" s="1" t="inlineStr">
        <is>
          <t>Auto-generating metric views from your v5 registry</t>
        </is>
      </c>
    </row>
    <row r="2">
      <c r="A2" s="2" t="inlineStr">
        <is>
          <t>Your template IS the generator's input. Fields map to YAML; most is deterministic, a few need one authored line.</t>
        </is>
      </c>
    </row>
    <row r="4">
      <c r="A4" s="9" t="inlineStr">
        <is>
          <t>Your v5 registry field</t>
        </is>
      </c>
      <c r="B4" s="9" t="inlineStr">
        <is>
          <t>Metric-view YAML element</t>
        </is>
      </c>
      <c r="C4" s="9" t="inlineStr">
        <is>
          <t>Auto / needs authoring</t>
        </is>
      </c>
    </row>
    <row r="5" ht="32" customHeight="1">
      <c r="A5" s="6" t="inlineStr">
        <is>
          <t>source table (catalog.schema.table)</t>
        </is>
      </c>
      <c r="B5" s="4" t="inlineStr">
        <is>
          <t>source</t>
        </is>
      </c>
      <c r="C5" s="11" t="inlineStr">
        <is>
          <t>AUTO</t>
        </is>
      </c>
    </row>
    <row r="6" ht="32" customHeight="1">
      <c r="A6" s="6" t="inlineStr">
        <is>
          <t>contract_grain</t>
        </is>
      </c>
      <c r="B6" s="4" t="inlineStr">
        <is>
          <t>grain (validates measures aggregate correctly)</t>
        </is>
      </c>
      <c r="C6" s="11" t="inlineStr">
        <is>
          <t>AUTO (from CONFIRMED grain)</t>
        </is>
      </c>
    </row>
    <row r="7" ht="32" customHeight="1">
      <c r="A7" s="6" t="inlineStr">
        <is>
          <t>column_role = dimension</t>
        </is>
      </c>
      <c r="B7" s="4" t="inlineStr">
        <is>
          <t>dimensions[]</t>
        </is>
      </c>
      <c r="C7" s="11" t="inlineStr">
        <is>
          <t>AUTO</t>
        </is>
      </c>
    </row>
    <row r="8" ht="32" customHeight="1">
      <c r="A8" s="6" t="inlineStr">
        <is>
          <t>column_role = measure + aggregation = additive</t>
        </is>
      </c>
      <c r="B8" s="4" t="inlineStr">
        <is>
          <t>measure: SUM(col)</t>
        </is>
      </c>
      <c r="C8" s="11" t="inlineStr">
        <is>
          <t>AUTO</t>
        </is>
      </c>
    </row>
    <row r="9" ht="32" customHeight="1">
      <c r="A9" s="16" t="inlineStr">
        <is>
          <t>aggregation = semi-additive</t>
        </is>
      </c>
      <c r="B9" s="4" t="inlineStr">
        <is>
          <t>measure + safe-dims constraint</t>
        </is>
      </c>
      <c r="C9" s="17" t="inlineStr">
        <is>
          <t>NEEDS measure_safe_dims (you deferred it)</t>
        </is>
      </c>
    </row>
    <row r="10" ht="32" customHeight="1">
      <c r="A10" s="16" t="inlineStr">
        <is>
          <t>aggregation = non-additive / report_level_only</t>
        </is>
      </c>
      <c r="B10" s="4" t="inlineStr">
        <is>
          <t>composed measure SUM(x)/SUM(y) at query time</t>
        </is>
      </c>
      <c r="C10" s="17" t="inlineStr">
        <is>
          <t>NEEDS the ratio formula (x,y)</t>
        </is>
      </c>
    </row>
    <row r="11" ht="32" customHeight="1">
      <c r="A11" s="6" t="inlineStr">
        <is>
          <t>measure_unit</t>
        </is>
      </c>
      <c r="B11" s="4" t="inlineStr">
        <is>
          <t>format / display</t>
        </is>
      </c>
      <c r="C11" s="11" t="inlineStr">
        <is>
          <t>AUTO</t>
        </is>
      </c>
    </row>
    <row r="12" ht="32" customHeight="1">
      <c r="A12" s="6" t="inlineStr">
        <is>
          <t>FK references + contract_entity</t>
        </is>
      </c>
      <c r="B12" s="4" t="inlineStr">
        <is>
          <t>joins (star / snowflake, multi-level)</t>
        </is>
      </c>
      <c r="C12" s="11" t="inlineStr">
        <is>
          <t>AUTO</t>
        </is>
      </c>
    </row>
    <row r="13" ht="32" customHeight="1">
      <c r="A13" s="6" t="inlineStr">
        <is>
          <t>comments / allowed values / glossary_term</t>
        </is>
      </c>
      <c r="B13" s="4" t="inlineStr">
        <is>
          <t>agent metadata (synonyms, display names, descriptions)</t>
        </is>
      </c>
      <c r="C13" s="11" t="inlineStr">
        <is>
          <t>AUTO</t>
        </is>
      </c>
    </row>
    <row r="15">
      <c r="A15" s="7" t="inlineStr">
        <is>
          <t>FACTLESS FACT TABLES</t>
        </is>
      </c>
      <c r="B15" s="12" t="inlineStr">
        <is>
          <t>Detected by: no measure-role columns. They split in two.</t>
        </is>
      </c>
      <c r="C15" s="21" t="n"/>
    </row>
    <row r="16" ht="30" customHeight="1">
      <c r="A16" s="3" t="inlineStr">
        <is>
          <t>Event-grain factless (something happened)</t>
        </is>
      </c>
      <c r="B16" s="4" t="inlineStr">
        <is>
          <t>measure = COUNT(*) or COUNT(DISTINCT grain) + dimensions. Fully auto.</t>
        </is>
      </c>
      <c r="C16" s="21" t="n"/>
    </row>
    <row r="17" ht="30" customHeight="1">
      <c r="A17" s="3" t="inlineStr">
        <is>
          <t>Coverage/condition factless (what COULD happen — eligibility, coverage)</t>
        </is>
      </c>
      <c r="B17" s="4" t="inlineStr">
        <is>
          <t>Existence / set-difference ('what's NOT posted'). NOT a metric view — use a coverage UDF / relationship traversal.</t>
        </is>
      </c>
      <c r="C17" s="21" t="n"/>
    </row>
    <row r="18" ht="30" customHeight="1">
      <c r="A18" s="3" t="inlineStr">
        <is>
          <t>Generator archetype rule</t>
        </is>
      </c>
      <c r="B18" s="4" t="inlineStr">
        <is>
          <t>measures → fact (SUM) · no measures + FK≥2 entities → factless (COUNT) · attributes + 1 entity → conformed dimension (no metric view).</t>
        </is>
      </c>
      <c r="C18" s="21" t="n"/>
    </row>
    <row r="19" ht="30" customHeight="1">
      <c r="A19" s="3" t="inlineStr">
        <is>
          <t>On the removed 'shape' tag</t>
        </is>
      </c>
      <c r="B19" s="4" t="inlineStr">
        <is>
          <t>Archetype now DOES drive semantic behaviour — but derive it from column_role composition; no need to revive the hand-authored tag.</t>
        </is>
      </c>
      <c r="C19" s="21" t="n"/>
    </row>
    <row r="21" ht="46" customHeight="1">
      <c r="A21" s="16" t="inlineStr">
        <is>
          <t>CORRECTNESS CAVEAT</t>
        </is>
      </c>
      <c r="B21" s="17" t="inlineStr">
        <is>
          <t>A metric view's additivity is HAND-DECLARED, and the view is blind to grain collapsed UPSTREAM (your CSV facts). So the generator is trustworthy ONLY on confirmed rows — which is exactly why your profiler-confirm gate + 'contract_grain mandatory at gold' exist.</t>
        </is>
      </c>
      <c r="C21" s="21" t="n"/>
    </row>
    <row r="22" ht="32" customHeight="1">
      <c r="A22" s="3" t="inlineStr">
        <is>
          <t>HOW IT'S APPLIED</t>
        </is>
      </c>
      <c r="B22" s="4" t="inlineStr">
        <is>
          <t>Emit YAML → apply via SQL DDL or dbt (materialized='metric_view', dbt-databricks v1.12.0). Databricks' own agentic authoring can also draft metric views — but your registry path is governed/confirmed, not inferred.</t>
        </is>
      </c>
      <c r="C22" s="21" t="n"/>
    </row>
  </sheetData>
  <mergeCells count="9">
    <mergeCell ref="B21:C21"/>
    <mergeCell ref="B16:C16"/>
    <mergeCell ref="B15:C15"/>
    <mergeCell ref="A1:C1"/>
    <mergeCell ref="B19:C19"/>
    <mergeCell ref="B22:C22"/>
    <mergeCell ref="B17:C17"/>
    <mergeCell ref="B18:C18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38" customWidth="1" min="4" max="4"/>
  </cols>
  <sheetData>
    <row r="1" ht="22" customHeight="1">
      <c r="A1" s="1" t="inlineStr">
        <is>
          <t>Auto-populated · your profiler adds · the 5 confirms</t>
        </is>
      </c>
    </row>
    <row r="2">
      <c r="A2" s="2" t="inlineStr">
        <is>
          <t>Correcting the earlier 'drop' framing. The template is GENERATED from UC and arrives PRE-FILLED — pre-populated columns were never an app-owner ask.</t>
        </is>
      </c>
    </row>
    <row r="3" ht="48" customHeight="1">
      <c r="A3" s="16" t="inlineStr">
        <is>
          <t>HEADLINE</t>
        </is>
      </c>
      <c r="B3" s="17" t="inlineStr">
        <is>
          <t>Nothing comes OFF the app-owner's plate — those columns were auto all along. The only real reconsideration is a BUILD question: where the estate has signals (query history, keys), let Databricks' native profiling / Ontology draft the first pass; your profiler adds only what UC can't infer. Then the human ask is just the 5 confirms.</t>
        </is>
      </c>
      <c r="C3" s="20" t="n"/>
      <c r="D3" s="21" t="n"/>
    </row>
    <row r="5">
      <c r="A5" s="9" t="inlineStr">
        <is>
          <t>Bucket</t>
        </is>
      </c>
      <c r="B5" s="9" t="inlineStr">
        <is>
          <t>Field / item</t>
        </is>
      </c>
      <c r="C5" s="9" t="inlineStr">
        <is>
          <t>Source / who produces it</t>
        </is>
      </c>
      <c r="D5" s="9" t="inlineStr">
        <is>
          <t>Note</t>
        </is>
      </c>
    </row>
    <row r="6" ht="30" customHeight="1">
      <c r="A6" s="8" t="inlineStr">
        <is>
          <t>A · AUTO-POPULATED (owner just sees it — NOT an ask)</t>
        </is>
      </c>
      <c r="B6" s="8" t="inlineStr">
        <is>
          <t>Table &amp; column names</t>
        </is>
      </c>
      <c r="C6" s="4" t="inlineStr">
        <is>
          <t>UC catalog read</t>
        </is>
      </c>
      <c r="D6" s="4" t="inlineStr">
        <is>
          <t>Never work; arrives filled.</t>
        </is>
      </c>
    </row>
    <row r="7" ht="30" customHeight="1">
      <c r="A7" s="8" t="inlineStr">
        <is>
          <t>A</t>
        </is>
      </c>
      <c r="B7" s="8" t="inlineStr">
        <is>
          <t>Data types (raw read)</t>
        </is>
      </c>
      <c r="C7" s="4" t="inlineStr">
        <is>
          <t>UC catalog read</t>
        </is>
      </c>
      <c r="D7" s="4" t="inlineStr">
        <is>
          <t>Owner sees; confirms only where cast matters (bucket C).</t>
        </is>
      </c>
    </row>
    <row r="8" ht="30" customHeight="1">
      <c r="A8" s="8" t="inlineStr"/>
      <c r="B8" s="8" t="inlineStr">
        <is>
          <t>src_domain / src_app</t>
        </is>
      </c>
      <c r="C8" s="4" t="inlineStr">
        <is>
          <t>Derived from catalog / schema</t>
        </is>
      </c>
      <c r="D8" s="4" t="inlineStr">
        <is>
          <t>Already derived in your template.</t>
        </is>
      </c>
    </row>
    <row r="9" ht="30" customHeight="1">
      <c r="A9" s="8" t="inlineStr"/>
      <c r="B9" s="8" t="inlineStr">
        <is>
          <t>Column-level lineage</t>
        </is>
      </c>
      <c r="C9" s="4" t="inlineStr">
        <is>
          <t>UC automatic (External Lineage GA)</t>
        </is>
      </c>
      <c r="D9" s="4" t="inlineStr">
        <is>
          <t>Don't hand-capture flow.</t>
        </is>
      </c>
    </row>
    <row r="10" ht="30" customHeight="1">
      <c r="A10" s="8" t="inlineStr"/>
      <c r="B10" s="8" t="inlineStr">
        <is>
          <t>Column popularity / usage</t>
        </is>
      </c>
      <c r="C10" s="4" t="inlineStr">
        <is>
          <t>UC signal</t>
        </is>
      </c>
      <c r="D10" s="4" t="inlineStr">
        <is>
          <t>Free; feeds Genie.</t>
        </is>
      </c>
    </row>
    <row r="11" ht="30" customHeight="1">
      <c r="A11" s="8" t="inlineStr"/>
      <c r="B11" s="8" t="inlineStr">
        <is>
          <t>PK/FK — where query history / keys exist</t>
        </is>
      </c>
      <c r="C11" s="4" t="inlineStr">
        <is>
          <t>UC + Ontology propose</t>
        </is>
      </c>
      <c r="D11" s="4" t="inlineStr">
        <is>
          <t>Consume it; don't re-derive.</t>
        </is>
      </c>
    </row>
    <row r="12" ht="30" customHeight="1">
      <c r="A12" s="7" t="inlineStr">
        <is>
          <t>B · YOUR PROFILER ADDS (draft layer — what UC can't infer)</t>
        </is>
      </c>
      <c r="B12" s="7" t="inlineStr">
        <is>
          <t>PK/FK on bare OBTs (no query history)</t>
        </is>
      </c>
      <c r="C12" s="4" t="inlineStr">
        <is>
          <t>Your structural / name-match inference</t>
        </is>
      </c>
      <c r="D12" s="4" t="inlineStr">
        <is>
          <t>Denormalized CSV facts have no join history — you do better here.</t>
        </is>
      </c>
    </row>
    <row r="13" ht="30" customHeight="1">
      <c r="A13" s="7" t="inlineStr">
        <is>
          <t>B</t>
        </is>
      </c>
      <c r="B13" s="7" t="inlineStr">
        <is>
          <t>Parse rules (string → type cast)</t>
        </is>
      </c>
      <c r="C13" s="4" t="inlineStr">
        <is>
          <t>Your profiler</t>
        </is>
      </c>
      <c r="D13" s="4" t="inlineStr">
        <is>
          <t>Sources land as strings; UC won't author the cast.</t>
        </is>
      </c>
    </row>
    <row r="14" ht="30" customHeight="1">
      <c r="A14" s="7" t="inlineStr"/>
      <c r="B14" s="7" t="inlineStr">
        <is>
          <t>Grain candidates (esp. factless / denormalized)</t>
        </is>
      </c>
      <c r="C14" s="4" t="inlineStr">
        <is>
          <t>Your profiler (GROUP BY test)</t>
        </is>
      </c>
      <c r="D14" s="4" t="inlineStr">
        <is>
          <t>UC infers a guess; you test candidates.</t>
        </is>
      </c>
    </row>
    <row r="15" ht="30" customHeight="1">
      <c r="A15" s="7" t="inlineStr"/>
      <c r="B15" s="7" t="inlineStr">
        <is>
          <t>Entity attribution candidates (contract_entity + col override)</t>
        </is>
      </c>
      <c r="C15" s="4" t="inlineStr">
        <is>
          <t>Your profiler (FK graph + glossary)</t>
        </is>
      </c>
      <c r="D15" s="4" t="inlineStr">
        <is>
          <t>The ontology hook; UC infers entities but not your conformed attribution.</t>
        </is>
      </c>
    </row>
    <row r="16" ht="30" customHeight="1">
      <c r="A16" s="7" t="inlineStr"/>
      <c r="B16" s="7" t="inlineStr">
        <is>
          <t>Role / unit / synonym / definition DRAFTS</t>
        </is>
      </c>
      <c r="C16" s="4" t="inlineStr">
        <is>
          <t>Your profiler; consume Genie Code drafts</t>
        </is>
      </c>
      <c r="D16" s="4" t="inlineStr">
        <is>
          <t>Seed from patterns + Genie Code where available.</t>
        </is>
      </c>
    </row>
    <row r="17" ht="30" customHeight="1">
      <c r="A17" s="7" t="inlineStr"/>
      <c r="B17" s="7" t="inlineStr">
        <is>
          <t>Allowed-value distincts + null counts</t>
        </is>
      </c>
      <c r="C17" s="4" t="inlineStr">
        <is>
          <t>Your profiler (sampling)</t>
        </is>
      </c>
      <c r="D17" s="4" t="inlineStr">
        <is>
          <t>Feeds the enum / nullable confirms.</t>
        </is>
      </c>
    </row>
    <row r="18" ht="30" customHeight="1">
      <c r="A18" s="6" t="inlineStr">
        <is>
          <t>C · THE 5 CONFIRMS (the ONLY app-owner touch, ~10 min/table)</t>
        </is>
      </c>
      <c r="B18" s="6" t="inlineStr">
        <is>
          <t>1. Grain — is this the intended grain?</t>
        </is>
      </c>
      <c r="C18" s="4" t="inlineStr">
        <is>
          <t>App owner confirms</t>
        </is>
      </c>
      <c r="D18" s="4" t="inlineStr">
        <is>
          <t>Correctness-critical (132-vs-92).</t>
        </is>
      </c>
    </row>
    <row r="19" ht="30" customHeight="1">
      <c r="A19" s="6" t="inlineStr">
        <is>
          <t>C</t>
        </is>
      </c>
      <c r="B19" s="6" t="inlineStr">
        <is>
          <t>2. Additivity — additive, or a ratio?</t>
        </is>
      </c>
      <c r="C19" s="4" t="inlineStr">
        <is>
          <t>App owner confirms</t>
        </is>
      </c>
      <c r="D19" s="4" t="inlineStr">
        <is>
          <t>Summing a ratio = the classic wrong number.</t>
        </is>
      </c>
    </row>
    <row r="20" ht="30" customHeight="1">
      <c r="A20" s="6" t="inlineStr"/>
      <c r="B20" s="6" t="inlineStr">
        <is>
          <t>3. Enum completeness — is the value list right?</t>
        </is>
      </c>
      <c r="C20" s="4" t="inlineStr">
        <is>
          <t>App owner confirms</t>
        </is>
      </c>
      <c r="D20" s="4" t="inlineStr">
        <is>
          <t>Becomes an enforced CHECK.</t>
        </is>
      </c>
    </row>
    <row r="21" ht="30" customHeight="1">
      <c r="A21" s="6" t="inlineStr"/>
      <c r="B21" s="6" t="inlineStr">
        <is>
          <t>4. Meaning polish — expand app jargon</t>
        </is>
      </c>
      <c r="C21" s="4" t="inlineStr">
        <is>
          <t>App owner confirms</t>
        </is>
      </c>
      <c r="D21" s="4" t="inlineStr">
        <is>
          <t>Business SME ratifies at gold.</t>
        </is>
      </c>
    </row>
    <row r="22" ht="30" customHeight="1">
      <c r="A22" s="6" t="inlineStr"/>
      <c r="B22" s="6" t="inlineStr">
        <is>
          <t>5. FK targets — does each point at the right entity?</t>
        </is>
      </c>
      <c r="C22" s="4" t="inlineStr">
        <is>
          <t>App owner confirms</t>
        </is>
      </c>
      <c r="D22" s="4" t="inlineStr">
        <is>
          <t>The relationship map.</t>
        </is>
      </c>
    </row>
    <row r="23" ht="30" customHeight="1">
      <c r="A23" s="5" t="inlineStr">
        <is>
          <t>D · NOT the app owner (steward / product owner)</t>
        </is>
      </c>
      <c r="B23" s="5" t="inlineStr">
        <is>
          <t>sensitivity · PII · visible/lifecycle · ODCS contract · entity_alignment / divergence / quarantine</t>
        </is>
      </c>
      <c r="C23" s="4" t="inlineStr">
        <is>
          <t>Steward &amp; product owner</t>
        </is>
      </c>
      <c r="D23" s="4" t="inlineStr">
        <is>
          <t>Deliberately off the app owner's plate.</t>
        </is>
      </c>
    </row>
    <row r="25" ht="52" customHeight="1">
      <c r="A25" s="7" t="inlineStr">
        <is>
          <t>BUILD DECISION</t>
        </is>
      </c>
      <c r="B25" s="12" t="inlineStr">
        <is>
          <t>Keep your generation/pre-population layer, but have it CONSUME Databricks inferences (names, types, lineage, popularity, join suggestions) instead of re-deriving them. Retire your own FK-inference only where query history exists; keep it for bare OBTs. Net: the app-owner ask was ALWAYS just the 5 confirms — make that visible ('arrives filled from UC; confirm 5 things') and the resistance argument goes away.</t>
        </is>
      </c>
      <c r="C25" s="20" t="n"/>
      <c r="D25" s="21" t="n"/>
    </row>
  </sheetData>
  <mergeCells count="4">
    <mergeCell ref="A1:D1"/>
    <mergeCell ref="B25:D25"/>
    <mergeCell ref="B3:D3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34" customWidth="1" min="4" max="4"/>
    <col width="34" customWidth="1" min="5" max="5"/>
  </cols>
  <sheetData>
    <row r="1" ht="22" customHeight="1">
      <c r="A1" s="1" t="inlineStr">
        <is>
          <t>Signal Ledger — what Genie's knowledge graph can be fed, and what doesn't exist yet</t>
        </is>
      </c>
    </row>
    <row r="2">
      <c r="A2" s="2" t="inlineStr">
        <is>
          <t>Day-0 state of the CMOS POC data. GREEN=exists · AMBER=missing (net-new) · YELLOW=partial. Update as we feed Genie.</t>
        </is>
      </c>
    </row>
    <row r="4">
      <c r="A4" s="9" t="inlineStr">
        <is>
          <t>Signal Genie uses</t>
        </is>
      </c>
      <c r="B4" s="9" t="inlineStr">
        <is>
          <t>Used for</t>
        </is>
      </c>
      <c r="C4" s="9" t="inlineStr">
        <is>
          <t>State @ day 0</t>
        </is>
      </c>
      <c r="D4" s="9" t="inlineStr">
        <is>
          <t>Source in our POC (if any)</t>
        </is>
      </c>
      <c r="E4" s="9" t="inlineStr">
        <is>
          <t>If missing: what we feed / who</t>
        </is>
      </c>
    </row>
    <row r="5" ht="28" customHeight="1">
      <c r="A5" s="6" t="inlineStr">
        <is>
          <t>Table names</t>
        </is>
      </c>
      <c r="B5" s="4" t="inlineStr">
        <is>
          <t>Grounding</t>
        </is>
      </c>
      <c r="C5" s="11" t="inlineStr">
        <is>
          <t>EXISTS</t>
        </is>
      </c>
      <c r="D5" s="4" t="inlineStr">
        <is>
          <t>12 bronze CSVs</t>
        </is>
      </c>
      <c r="E5" s="4" t="inlineStr">
        <is>
          <t>—</t>
        </is>
      </c>
    </row>
    <row r="6" ht="28" customHeight="1">
      <c r="A6" s="6" t="inlineStr">
        <is>
          <t>Column names</t>
        </is>
      </c>
      <c r="B6" s="4" t="inlineStr">
        <is>
          <t>Grounding</t>
        </is>
      </c>
      <c r="C6" s="11" t="inlineStr">
        <is>
          <t>EXISTS</t>
        </is>
      </c>
      <c r="D6" s="4" t="inlineStr">
        <is>
          <t>CSV headers</t>
        </is>
      </c>
      <c r="E6" s="4" t="inlineStr">
        <is>
          <t>—</t>
        </is>
      </c>
    </row>
    <row r="7" ht="28" customHeight="1">
      <c r="A7" s="16" t="inlineStr">
        <is>
          <t>Data types</t>
        </is>
      </c>
      <c r="B7" s="4" t="inlineStr">
        <is>
          <t>Correct SQL</t>
        </is>
      </c>
      <c r="C7" s="17" t="inlineStr">
        <is>
          <t>PARTIAL</t>
        </is>
      </c>
      <c r="D7" s="4" t="inlineStr">
        <is>
          <t>All land as strings (bronze)</t>
        </is>
      </c>
      <c r="E7" s="4" t="inlineStr">
        <is>
          <t>Confirm type + parse_rule (your registry)</t>
        </is>
      </c>
    </row>
    <row r="8" ht="28" customHeight="1">
      <c r="A8" s="7" t="inlineStr">
        <is>
          <t>Table / column comments</t>
        </is>
      </c>
      <c r="B8" s="4" t="inlineStr">
        <is>
          <t>Meaning</t>
        </is>
      </c>
      <c r="C8" s="12" t="inlineStr">
        <is>
          <t>MISSING</t>
        </is>
      </c>
      <c r="D8" s="4" t="inlineStr">
        <is>
          <t>—</t>
        </is>
      </c>
      <c r="E8" s="4" t="inlineStr">
        <is>
          <t>Author (glossary + instructions)</t>
        </is>
      </c>
    </row>
    <row r="9" ht="28" customHeight="1">
      <c r="A9" s="7" t="inlineStr">
        <is>
          <t>Primary keys (declared)</t>
        </is>
      </c>
      <c r="B9" s="4" t="inlineStr">
        <is>
          <t>Grain</t>
        </is>
      </c>
      <c r="C9" s="12" t="inlineStr">
        <is>
          <t>MISSING</t>
        </is>
      </c>
      <c r="D9" s="4" t="inlineStr">
        <is>
          <t>Grain known, not declared</t>
        </is>
      </c>
      <c r="E9" s="4" t="inlineStr">
        <is>
          <t>Declare PK; confirm grain</t>
        </is>
      </c>
    </row>
    <row r="10" ht="28" customHeight="1">
      <c r="A10" s="7" t="inlineStr">
        <is>
          <t>Foreign keys (declared)</t>
        </is>
      </c>
      <c r="B10" s="4" t="inlineStr">
        <is>
          <t>Joins</t>
        </is>
      </c>
      <c r="C10" s="12" t="inlineStr">
        <is>
          <t>MISSING</t>
        </is>
      </c>
      <c r="D10" s="4" t="inlineStr">
        <is>
          <t>Relationships in data, not declared</t>
        </is>
      </c>
      <c r="E10" s="4" t="inlineStr">
        <is>
          <t>Declare FK / join relationships</t>
        </is>
      </c>
    </row>
    <row r="11" ht="28" customHeight="1">
      <c r="A11" s="6" t="inlineStr">
        <is>
          <t>Trade-&gt;Agreement resolver</t>
        </is>
      </c>
      <c r="B11" s="4" t="inlineStr">
        <is>
          <t>Entity resolution</t>
        </is>
      </c>
      <c r="C11" s="11" t="inlineStr">
        <is>
          <t>EXISTS</t>
        </is>
      </c>
      <c r="D11" s="4" t="inlineStr">
        <is>
          <t>trade_agreement_xref (rule engine)</t>
        </is>
      </c>
      <c r="E11" s="4" t="inlineStr">
        <is>
          <t>Expose as UDF / join (not a UC FK yet)</t>
        </is>
      </c>
    </row>
    <row r="12" ht="28" customHeight="1">
      <c r="A12" s="6" t="inlineStr">
        <is>
          <t>Party / counterparty master</t>
        </is>
      </c>
      <c r="B12" s="4" t="inlineStr">
        <is>
          <t>Entity resolution</t>
        </is>
      </c>
      <c r="C12" s="11" t="inlineStr">
        <is>
          <t>EXISTS</t>
        </is>
      </c>
      <c r="D12" s="4" t="inlineStr">
        <is>
          <t>organization</t>
        </is>
      </c>
      <c r="E12" s="4" t="inlineStr">
        <is>
          <t>Use as resolution source</t>
        </is>
      </c>
    </row>
    <row r="13" ht="28" customHeight="1">
      <c r="A13" s="6" t="inlineStr">
        <is>
          <t>Haircut / eligibility master</t>
        </is>
      </c>
      <c r="B13" s="4" t="inlineStr">
        <is>
          <t>Value calc</t>
        </is>
      </c>
      <c r="C13" s="11" t="inlineStr">
        <is>
          <t>EXISTS</t>
        </is>
      </c>
      <c r="D13" s="4" t="inlineStr">
        <is>
          <t>collateral_eligibility</t>
        </is>
      </c>
      <c r="E13" s="4" t="inlineStr">
        <is>
          <t>Join for collateral value</t>
        </is>
      </c>
    </row>
    <row r="14" ht="28" customHeight="1">
      <c r="A14" s="6" t="inlineStr">
        <is>
          <t>Movements / positions</t>
        </is>
      </c>
      <c r="B14" s="4" t="inlineStr">
        <is>
          <t>Traversal</t>
        </is>
      </c>
      <c r="C14" s="11" t="inlineStr">
        <is>
          <t>EXISTS</t>
        </is>
      </c>
      <c r="D14" s="4" t="inlineStr">
        <is>
          <t>assetsettlements / assetholdings</t>
        </is>
      </c>
      <c r="E14" s="4" t="inlineStr">
        <is>
          <t>—</t>
        </is>
      </c>
    </row>
    <row r="15" ht="28" customHeight="1">
      <c r="A15" s="7" t="inlineStr">
        <is>
          <t>Lineage</t>
        </is>
      </c>
      <c r="B15" s="4" t="inlineStr">
        <is>
          <t>Recover embedded entities</t>
        </is>
      </c>
      <c r="C15" s="12" t="inlineStr">
        <is>
          <t>MISSING</t>
        </is>
      </c>
      <c r="D15" s="4" t="inlineStr">
        <is>
          <t>Pipelines are OUTSIDE Databricks</t>
        </is>
      </c>
      <c r="E15" s="4" t="inlineStr">
        <is>
          <t>Accrues only as you build in DBX</t>
        </is>
      </c>
    </row>
    <row r="16" ht="28" customHeight="1">
      <c r="A16" s="7" t="inlineStr">
        <is>
          <t>Query history</t>
        </is>
      </c>
      <c r="B16" s="4" t="inlineStr">
        <is>
          <t>Learn joins / popularity</t>
        </is>
      </c>
      <c r="C16" s="12" t="inlineStr">
        <is>
          <t>MISSING</t>
        </is>
      </c>
      <c r="D16" s="4" t="inlineStr">
        <is>
          <t>Brand-new tables</t>
        </is>
      </c>
      <c r="E16" s="4" t="inlineStr">
        <is>
          <t>Accrues as we query; seed via audit SQL</t>
        </is>
      </c>
    </row>
    <row r="17" ht="28" customHeight="1">
      <c r="A17" s="7" t="inlineStr">
        <is>
          <t>Dashboards / notebooks</t>
        </is>
      </c>
      <c r="B17" s="4" t="inlineStr">
        <is>
          <t>Jargon / usage</t>
        </is>
      </c>
      <c r="C17" s="12" t="inlineStr">
        <is>
          <t>MISSING</t>
        </is>
      </c>
      <c r="D17" s="4" t="inlineStr">
        <is>
          <t>None exist</t>
        </is>
      </c>
      <c r="E17" s="4" t="inlineStr">
        <is>
          <t>None</t>
        </is>
      </c>
    </row>
    <row r="18" ht="28" customHeight="1">
      <c r="A18" s="7" t="inlineStr">
        <is>
          <t>Metric views</t>
        </is>
      </c>
      <c r="B18" s="4" t="inlineStr">
        <is>
          <t>Governed numbers</t>
        </is>
      </c>
      <c r="C18" s="12" t="inlineStr">
        <is>
          <t>MISSING</t>
        </is>
      </c>
      <c r="D18" s="4" t="inlineStr">
        <is>
          <t>—</t>
        </is>
      </c>
      <c r="E18" s="4" t="inlineStr">
        <is>
          <t>Generate from v5 registry (Tab 10)</t>
        </is>
      </c>
    </row>
    <row r="19" ht="28" customHeight="1">
      <c r="A19" s="7" t="inlineStr">
        <is>
          <t>Glossary terms</t>
        </is>
      </c>
      <c r="B19" s="4" t="inlineStr">
        <is>
          <t>What things mean</t>
        </is>
      </c>
      <c r="C19" s="12" t="inlineStr">
        <is>
          <t>MISSING</t>
        </is>
      </c>
      <c r="D19" s="4" t="inlineStr">
        <is>
          <t>Defs live in your ontology (outside)</t>
        </is>
      </c>
      <c r="E19" s="4" t="inlineStr">
        <is>
          <t>Author from ontology</t>
        </is>
      </c>
    </row>
    <row r="20" ht="28" customHeight="1">
      <c r="A20" s="7" t="inlineStr">
        <is>
          <t>Domains</t>
        </is>
      </c>
      <c r="B20" s="4" t="inlineStr">
        <is>
          <t>Scope</t>
        </is>
      </c>
      <c r="C20" s="12" t="inlineStr">
        <is>
          <t>MISSING</t>
        </is>
      </c>
      <c r="D20" s="4" t="inlineStr">
        <is>
          <t>Schema-per-app exists</t>
        </is>
      </c>
      <c r="E20" s="4" t="inlineStr">
        <is>
          <t>Create 'Collateral' domain</t>
        </is>
      </c>
    </row>
    <row r="21" ht="28" customHeight="1">
      <c r="A21" s="7" t="inlineStr">
        <is>
          <t>Synonyms / prompt matching</t>
        </is>
      </c>
      <c r="B21" s="4" t="inlineStr">
        <is>
          <t>Aliases</t>
        </is>
      </c>
      <c r="C21" s="12" t="inlineStr">
        <is>
          <t>MISSING</t>
        </is>
      </c>
      <c r="D21" s="4" t="inlineStr">
        <is>
          <t>'Central 1'=BCCU known</t>
        </is>
      </c>
      <c r="E21" s="4" t="inlineStr">
        <is>
          <t>Declare synonyms</t>
        </is>
      </c>
    </row>
    <row r="22" ht="28" customHeight="1">
      <c r="A22" s="7" t="inlineStr">
        <is>
          <t>Trusted assets / UDFs</t>
        </is>
      </c>
      <c r="B22" s="4" t="inlineStr">
        <is>
          <t>Verified answers</t>
        </is>
      </c>
      <c r="C22" s="12" t="inlineStr">
        <is>
          <t>MISSING</t>
        </is>
      </c>
      <c r="D22" s="4" t="inlineStr">
        <is>
          <t>Resolution logic conceptual</t>
        </is>
      </c>
      <c r="E22" s="4" t="inlineStr">
        <is>
          <t>Register resolve_* UDFs</t>
        </is>
      </c>
    </row>
    <row r="23" ht="28" customHeight="1">
      <c r="A23" s="7" t="inlineStr">
        <is>
          <t>Audit history</t>
        </is>
      </c>
      <c r="B23" s="4" t="inlineStr">
        <is>
          <t>Evidence + query signal</t>
        </is>
      </c>
      <c r="C23" s="12" t="inlineStr">
        <is>
          <t>MISSING</t>
        </is>
      </c>
      <c r="D23" s="4" t="inlineStr">
        <is>
          <t>—</t>
        </is>
      </c>
      <c r="E23" s="4" t="inlineStr">
        <is>
          <t>Build via SQL (next step)</t>
        </is>
      </c>
    </row>
    <row r="24" ht="28" customHeight="1">
      <c r="A24" s="7" t="inlineStr">
        <is>
          <t>The data MODEL / ontology</t>
        </is>
      </c>
      <c r="B24" s="4" t="inlineStr">
        <is>
          <t>Structure + axioms</t>
        </is>
      </c>
      <c r="C24" s="12" t="inlineStr">
        <is>
          <t>MISSING in DBX</t>
        </is>
      </c>
      <c r="D24" s="4" t="inlineStr">
        <is>
          <t>Exists OUTSIDE (your collateral ontology)</t>
        </is>
      </c>
      <c r="E24" s="4" t="inlineStr">
        <is>
          <t>Declare relationships + axioms</t>
        </is>
      </c>
    </row>
    <row r="26" ht="52" customHeight="1">
      <c r="A26" s="16" t="inlineStr">
        <is>
          <t>KEY FINDING</t>
        </is>
      </c>
      <c r="B26" s="17" t="inlineStr">
        <is>
          <t>FOUR divergent agreement keys across tables (external_id / agreement_id / agreement_external_id / agreement_ext_id) with non-overlapping values. Raw-id joins FAIL; only counterparty code + agreement description conform. This is the cross-source conformance problem — Genie can't solve it; your entity_alignment must.</t>
        </is>
      </c>
      <c r="C26" s="20" t="n"/>
      <c r="D26" s="20" t="n"/>
      <c r="E26" s="21" t="n"/>
    </row>
  </sheetData>
  <mergeCells count="3">
    <mergeCell ref="A2:E2"/>
    <mergeCell ref="B26:E26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30" customWidth="1" min="4" max="4"/>
    <col width="10" customWidth="1" min="5" max="5"/>
    <col width="26" customWidth="1" min="6" max="6"/>
    <col width="18" customWidth="1" min="7" max="7"/>
    <col width="34" customWidth="1" min="8" max="8"/>
  </cols>
  <sheetData>
    <row r="1" ht="22" customHeight="1">
      <c r="A1" s="1" t="inlineStr">
        <is>
          <t>POC Log — predicted vs actual, and what we fed to fix it</t>
        </is>
      </c>
    </row>
    <row r="2">
      <c r="A2" s="2" t="inlineStr">
        <is>
          <t>You fill 'Actual' after running each in Genie. Seeded with the runbook questions.</t>
        </is>
      </c>
    </row>
    <row r="4">
      <c r="A4" s="9" t="inlineStr">
        <is>
          <t>Step</t>
        </is>
      </c>
      <c r="B4" s="9" t="inlineStr">
        <is>
          <t>Question asked</t>
        </is>
      </c>
      <c r="C4" s="9" t="inlineStr">
        <is>
          <t>Predicted (raw)</t>
        </is>
      </c>
      <c r="D4" s="9" t="inlineStr">
        <is>
          <t>Actual (you fill)</t>
        </is>
      </c>
      <c r="E4" s="9" t="inlineStr">
        <is>
          <t>Correct?</t>
        </is>
      </c>
      <c r="F4" s="9" t="inlineStr">
        <is>
          <t>What we fed</t>
        </is>
      </c>
      <c r="G4" s="9" t="inlineStr">
        <is>
          <t>Genie capability</t>
        </is>
      </c>
      <c r="H4" s="9" t="inlineStr">
        <is>
          <t>Lift / note</t>
        </is>
      </c>
    </row>
    <row r="5" ht="44" customHeight="1">
      <c r="A5" s="4" t="inlineStr">
        <is>
          <t>L1 Key</t>
        </is>
      </c>
      <c r="B5" s="4" t="inlineStr">
        <is>
          <t>Total eligible collateral for Central 1 by agreement</t>
        </is>
      </c>
      <c r="C5" s="4" t="inlineStr">
        <is>
          <t>Falls for agreement_id PK trap (0% join) -&gt; wrong/empty</t>
        </is>
      </c>
      <c r="D5" s="11" t="inlineStr">
        <is>
          <t>Joined on external_id (ce.agreement_external_id = a.external_id). Correct.</t>
        </is>
      </c>
      <c r="E5" s="11" t="inlineStr">
        <is>
          <t>PASS</t>
        </is>
      </c>
      <c r="F5" s="4" t="inlineStr">
        <is>
          <t>nothing (raw silver)</t>
        </is>
      </c>
      <c r="G5" s="4" t="inlineStr">
        <is>
          <t>Column-name inference</t>
        </is>
      </c>
      <c r="H5" s="4" t="inlineStr">
        <is>
          <t>PREDICTION WRONG. Column naming (agreement_external_id&lt;-&gt;external_id) beat the 'Primary key' comment. Good naming = a signal.</t>
        </is>
      </c>
    </row>
    <row r="6" ht="44" customHeight="1">
      <c r="A6" s="4" t="inlineStr">
        <is>
          <t>L2 Entity (default)</t>
        </is>
      </c>
      <c r="B6" s="4" t="inlineStr">
        <is>
          <t>(same question)</t>
        </is>
      </c>
      <c r="C6" s="4" t="inlineStr">
        <is>
          <t>Fragile substring resolution</t>
        </is>
      </c>
      <c r="D6" s="17" t="inlineStr">
        <is>
          <t>WHERE counterparty ILIKE '%Central 1%'</t>
        </is>
      </c>
      <c r="E6" s="17" t="inlineStr">
        <is>
          <t>PARTIAL</t>
        </is>
      </c>
      <c r="F6" s="4" t="inlineStr">
        <is>
          <t>nothing</t>
        </is>
      </c>
      <c r="G6" s="4" t="inlineStr">
        <is>
          <t>Fuzzy name match</t>
        </is>
      </c>
      <c r="H6" s="4" t="inlineStr">
        <is>
          <t>Substring would also sweep in 'Central 10/15'. Ambiguous, unsafe for risk.</t>
        </is>
      </c>
    </row>
    <row r="7" ht="44" customHeight="1">
      <c r="A7" s="4" t="inlineStr">
        <is>
          <t>L2 Entity (fixed)</t>
        </is>
      </c>
      <c r="B7" s="4" t="inlineStr">
        <is>
          <t>(same + instruction)</t>
        </is>
      </c>
      <c r="C7" s="4" t="inlineStr">
        <is>
          <t>Exact code match</t>
        </is>
      </c>
      <c r="D7" s="11" t="inlineStr">
        <is>
          <t>WHERE counterparty_code = 'BCCU'</t>
        </is>
      </c>
      <c r="E7" s="11" t="inlineStr">
        <is>
          <t>PASS</t>
        </is>
      </c>
      <c r="F7" s="4" t="inlineStr">
        <is>
          <t>instruction: 'Central 1' = BCCU</t>
        </is>
      </c>
      <c r="G7" s="4" t="inlineStr">
        <is>
          <t>Instructions</t>
        </is>
      </c>
      <c r="H7" s="4" t="inlineStr">
        <is>
          <t>Governed exact match. First 'feed a hint, watch it correct' win.</t>
        </is>
      </c>
    </row>
    <row r="8" ht="44" customHeight="1">
      <c r="A8" s="4" t="inlineStr">
        <is>
          <t>L3 Measure (default)</t>
        </is>
      </c>
      <c r="B8" s="4" t="inlineStr">
        <is>
          <t>Total collateral by agreement (eligibility table only)</t>
        </is>
      </c>
      <c r="C8" s="4" t="inlineStr">
        <is>
          <t>Needs a holdings/amount table</t>
        </is>
      </c>
      <c r="D8" s="12" t="inlineStr">
        <is>
          <t>SUM(valuation_haircut) as 'collateral' - a PERCENTAGE summed as an amount. Confidently WRONG (4,180 etc.)</t>
        </is>
      </c>
      <c r="E8" s="12" t="inlineStr">
        <is>
          <t>FAIL</t>
        </is>
      </c>
      <c r="F8" s="4" t="inlineStr">
        <is>
          <t>nothing</t>
        </is>
      </c>
      <c r="G8" s="4" t="inlineStr">
        <is>
          <t>-</t>
        </is>
      </c>
      <c r="H8" s="4" t="inlineStr">
        <is>
          <t>No error, no flag. Plausible nonsense - the classic failure mode, live.</t>
        </is>
      </c>
    </row>
    <row r="9" ht="44" customHeight="1">
      <c r="A9" s="4" t="inlineStr">
        <is>
          <t>L3 Measure (agent mode)</t>
        </is>
      </c>
      <c r="B9" s="4" t="inlineStr">
        <is>
          <t>(same, Agent mode)</t>
        </is>
      </c>
      <c r="C9" s="4" t="inlineStr">
        <is>
          <t>-</t>
        </is>
      </c>
      <c r="D9" s="12" t="inlineStr">
        <is>
          <t>DIAGNOSED its own error ('summing haircut isn't meaningful') but returned it anyway - chose literal compliance over correctness</t>
        </is>
      </c>
      <c r="E9" s="12" t="inlineStr">
        <is>
          <t>FAIL (self-aware)</t>
        </is>
      </c>
      <c r="F9" s="4" t="inlineStr">
        <is>
          <t>nothing</t>
        </is>
      </c>
      <c r="G9" s="4" t="inlineStr">
        <is>
          <t>Agent-mode reasoning</t>
        </is>
      </c>
      <c r="H9" s="4" t="inlineStr">
        <is>
          <t>Recognising != fixing. Deeper mode surfaces the problem but won't override the literal question.</t>
        </is>
      </c>
    </row>
    <row r="10" ht="44" customHeight="1">
      <c r="A10" s="4" t="inlineStr">
        <is>
          <t>L3 Measure (fixed)</t>
        </is>
      </c>
      <c r="B10" s="4" t="inlineStr">
        <is>
          <t>(+ asset_holdings + instruction)</t>
        </is>
      </c>
      <c r="C10" s="4" t="inlineStr">
        <is>
          <t>SUM moves to reported_collateral_value</t>
        </is>
      </c>
      <c r="D10" s="11" t="inlineStr">
        <is>
          <t>SUM(asset_holdings.reported_collateral_value)</t>
        </is>
      </c>
      <c r="E10" s="11" t="inlineStr">
        <is>
          <t>PASS</t>
        </is>
      </c>
      <c r="F10" s="4" t="inlineStr">
        <is>
          <t>add asset_holdings + instruction: collateral = SUM(reported_collateral_value); never sum haircut</t>
        </is>
      </c>
      <c r="G10" s="4" t="inlineStr">
        <is>
          <t>Source + Instructions</t>
        </is>
      </c>
      <c r="H10" s="4" t="inlineStr">
        <is>
          <t>KEY FINDING: adding the right TABLE alone did NOT fix it - it still summed haircut until the DEFINITION was given.</t>
        </is>
      </c>
    </row>
    <row r="11" ht="44" customHeight="1">
      <c r="A11" s="4" t="inlineStr">
        <is>
          <t>L4 Grain (default)</t>
        </is>
      </c>
      <c r="B11" s="4" t="inlineStr">
        <is>
          <t>(same, no grain rule)</t>
        </is>
      </c>
      <c r="C11" s="4" t="inlineStr">
        <is>
          <t>5x overcount across snapshots</t>
        </is>
      </c>
      <c r="D11" s="12" t="inlineStr">
        <is>
          <t>SUM across all 5 reporting_dates (~$694M)</t>
        </is>
      </c>
      <c r="E11" s="12" t="inlineStr">
        <is>
          <t>FAIL</t>
        </is>
      </c>
      <c r="F11" s="4" t="inlineStr">
        <is>
          <t>nothing</t>
        </is>
      </c>
      <c r="G11" s="4" t="inlineStr">
        <is>
          <t>-</t>
        </is>
      </c>
      <c r="H11" s="4" t="inlineStr">
        <is>
          <t>No reporting_date filter. ~5x inflated vs true scale.</t>
        </is>
      </c>
    </row>
    <row r="12" ht="44" customHeight="1">
      <c r="A12" s="4" t="inlineStr">
        <is>
          <t>L4 Grain (fixed)</t>
        </is>
      </c>
      <c r="B12" s="4" t="inlineStr">
        <is>
          <t>(+ grain instruction)</t>
        </is>
      </c>
      <c r="C12" s="4" t="inlineStr">
        <is>
          <t>Latest snapshot only</t>
        </is>
      </c>
      <c r="D12" s="11" t="inlineStr">
        <is>
          <t>MAX/latest reporting_date -&gt; true scale (~$178M)</t>
        </is>
      </c>
      <c r="E12" s="11" t="inlineStr">
        <is>
          <t>PASS</t>
        </is>
      </c>
      <c r="F12" s="4" t="inlineStr">
        <is>
          <t>instruction: asset_holdings is a daily snapshot; use latest reporting_date</t>
        </is>
      </c>
      <c r="G12" s="4" t="inlineStr">
        <is>
          <t>Instructions</t>
        </is>
      </c>
      <c r="H12" s="4" t="inlineStr">
        <is>
          <t>~5x drop confirms the trap. Same idea as runbook 'base_threshold is a copy'.</t>
        </is>
      </c>
    </row>
    <row r="13" ht="44" customHeight="1">
      <c r="A13" s="4" t="inlineStr">
        <is>
          <t>L4 A/B (control)</t>
        </is>
      </c>
      <c r="B13" s="4" t="inlineStr">
        <is>
          <t>Removed BOTH instructions, re-ran</t>
        </is>
      </c>
      <c r="C13" s="4" t="inlineStr">
        <is>
          <t>-</t>
        </is>
      </c>
      <c r="D13" s="17" t="inlineStr">
        <is>
          <t>Picked reported_collateral_value on its own (learned from query history) BUT summed across all dates again</t>
        </is>
      </c>
      <c r="E13" s="17" t="inlineStr">
        <is>
          <t>MIXED</t>
        </is>
      </c>
      <c r="F13" s="4" t="inlineStr">
        <is>
          <t>nothing (instructions removed)</t>
        </is>
      </c>
      <c r="G13" s="4" t="inlineStr">
        <is>
          <t>Query history</t>
        </is>
      </c>
      <c r="H13" s="4" t="inlineStr">
        <is>
          <t>CRITICAL: it learned the COLUMN from prior usage, but NOT the rule. Grain error returned the moment governance was removed.</t>
        </is>
      </c>
    </row>
    <row r="14" ht="44" customHeight="1">
      <c r="A14" s="4" t="inlineStr">
        <is>
          <t>L5 Metric view</t>
        </is>
      </c>
      <c r="B14" s="4" t="inlineStr">
        <is>
          <t>Create metric view on asset_holdings</t>
        </is>
      </c>
      <c r="C14" s="4" t="inlineStr">
        <is>
          <t>Genie drafts YAML from the table</t>
        </is>
      </c>
      <c r="D14" s="17" t="inlineStr">
        <is>
          <t>Generated YAML (structure + types + partition) AND FABRICATED a table comment (the table had none) - synthesised from column names</t>
        </is>
      </c>
      <c r="E14" s="17" t="inlineStr">
        <is>
          <t>DRAFT</t>
        </is>
      </c>
      <c r="F14" s="4" t="inlineStr">
        <is>
          <t>-</t>
        </is>
      </c>
      <c r="G14" s="4" t="inlineStr">
        <is>
          <t>Genie Code / agentic authoring</t>
        </is>
      </c>
      <c r="H14" s="4" t="inlineStr">
        <is>
          <t>Invented a plausible comment (likely wrong partition: reporting_day vs reporting_date). Draft, not truth. Human confirm/edit BEFORE Create.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8" customWidth="1" min="4" max="4"/>
    <col width="8" customWidth="1" min="5" max="5"/>
    <col width="26" customWidth="1" min="6" max="6"/>
    <col width="40" customWidth="1" min="7" max="7"/>
  </cols>
  <sheetData>
    <row r="1" ht="22" customHeight="1">
      <c r="A1" s="1" t="inlineStr">
        <is>
          <t>CMOS silver schema — real DDL mapped to samples (catalog d4001-centralus-tdvip-creditrisk.cmos_core)</t>
        </is>
      </c>
    </row>
    <row r="2">
      <c r="A2" s="2" t="inlineStr">
        <is>
          <t>15 tables. Grain = snapshot per reporting_date unless noted. Rows from source_bronze_watermark. NEW = no earlier sample.</t>
        </is>
      </c>
    </row>
    <row r="4">
      <c r="A4" s="9" t="inlineStr">
        <is>
          <t>Table</t>
        </is>
      </c>
      <c r="B4" s="9" t="inlineStr">
        <is>
          <t>Earlier sample</t>
        </is>
      </c>
      <c r="C4" s="9" t="inlineStr">
        <is>
          <t>Grain / partition</t>
        </is>
      </c>
      <c r="D4" s="9" t="inlineStr">
        <is>
          <t>~Rows</t>
        </is>
      </c>
      <c r="E4" s="9" t="inlineStr">
        <is>
          <t>CDF</t>
        </is>
      </c>
      <c r="F4" s="9" t="inlineStr">
        <is>
          <t>Audit cols</t>
        </is>
      </c>
      <c r="G4" s="9" t="inlineStr">
        <is>
          <t>Anomaly / note</t>
        </is>
      </c>
    </row>
    <row r="5" ht="30" customHeight="1">
      <c r="A5" s="3" t="inlineStr">
        <is>
          <t>agreements</t>
        </is>
      </c>
      <c r="B5" s="4" t="inlineStr">
        <is>
          <t>agreements CSV+sheet</t>
        </is>
      </c>
      <c r="C5" s="4" t="inlineStr">
        <is>
          <t>snapshot / reporting_date</t>
        </is>
      </c>
      <c r="D5" s="15" t="inlineStr">
        <is>
          <t>1.54M</t>
        </is>
      </c>
      <c r="E5" s="15" t="inlineStr">
        <is>
          <t>sup</t>
        </is>
      </c>
      <c r="F5" s="4" t="inlineStr">
        <is>
          <t>rescued_data, reporting_date</t>
        </is>
      </c>
      <c r="G5" s="4" t="inlineStr">
        <is>
          <t>PK is COMMENT only on agreement_id; money-&gt;dec, dates-&gt;date</t>
        </is>
      </c>
    </row>
    <row r="6" ht="30" customHeight="1">
      <c r="A6" s="7" t="inlineStr">
        <is>
          <t>agreements_all_fields</t>
        </is>
      </c>
      <c r="B6" s="12" t="inlineStr">
        <is>
          <t>NEW</t>
        </is>
      </c>
      <c r="C6" s="4" t="inlineStr">
        <is>
          <t>(likely unpartitioned)</t>
        </is>
      </c>
      <c r="D6" s="15" t="inlineStr">
        <is>
          <t>large</t>
        </is>
      </c>
      <c r="E6" s="15" t="inlineStr">
        <is>
          <t>-</t>
        </is>
      </c>
      <c r="F6" s="4" t="inlineStr">
        <is>
          <t>-</t>
        </is>
      </c>
      <c r="G6" s="4" t="inlineStr">
        <is>
          <t>~180 cols, almost all STRING (untyped) raw vendor superset</t>
        </is>
      </c>
    </row>
    <row r="7" ht="30" customHeight="1">
      <c r="A7" s="3" t="inlineStr">
        <is>
          <t>asset_holdings</t>
        </is>
      </c>
      <c r="B7" s="4" t="inlineStr">
        <is>
          <t>assetholdings sheet</t>
        </is>
      </c>
      <c r="C7" s="4" t="inlineStr">
        <is>
          <t>snapshot / reporting_date</t>
        </is>
      </c>
      <c r="D7" s="15" t="inlineStr">
        <is>
          <t>727k</t>
        </is>
      </c>
      <c r="E7" s="15" t="inlineStr">
        <is>
          <t>sup</t>
        </is>
      </c>
      <c r="F7" s="4" t="inlineStr">
        <is>
          <t>rescued_data, reporting_date</t>
        </is>
      </c>
      <c r="G7" s="4" t="inlineStr">
        <is>
          <t>Colline holdings; 100 cols; haircut dec(18,8)</t>
        </is>
      </c>
    </row>
    <row r="8" ht="30" customHeight="1">
      <c r="A8" s="3" t="inlineStr">
        <is>
          <t>asset_settlements</t>
        </is>
      </c>
      <c r="B8" s="4" t="inlineStr">
        <is>
          <t>assetsettlements sheet</t>
        </is>
      </c>
      <c r="C8" s="4" t="inlineStr">
        <is>
          <t>snapshot / reporting_date</t>
        </is>
      </c>
      <c r="D8" s="15" t="inlineStr">
        <is>
          <t>1.32M</t>
        </is>
      </c>
      <c r="E8" s="15" t="inlineStr">
        <is>
          <t>sup</t>
        </is>
      </c>
      <c r="F8" s="4" t="inlineStr">
        <is>
          <t>rescued_data, reporting_date</t>
        </is>
      </c>
      <c r="G8" s="4" t="inlineStr">
        <is>
          <t>the movements</t>
        </is>
      </c>
    </row>
    <row r="9" ht="30" customHeight="1">
      <c r="A9" s="16" t="inlineStr">
        <is>
          <t>collateral_eligibility</t>
        </is>
      </c>
      <c r="B9" s="17" t="inlineStr">
        <is>
          <t>eligibility sheet</t>
        </is>
      </c>
      <c r="C9" s="4" t="inlineStr">
        <is>
          <t>snapshot / reporting_DAY</t>
        </is>
      </c>
      <c r="D9" s="15" t="inlineStr">
        <is>
          <t>864k</t>
        </is>
      </c>
      <c r="E9" s="15" t="inlineStr">
        <is>
          <t>(lighter props)</t>
        </is>
      </c>
      <c r="F9" s="4" t="inlineStr">
        <is>
          <t>rescued_data, reporting_day</t>
        </is>
      </c>
      <c r="G9" s="4" t="inlineStr">
        <is>
          <t>partition col named reporting_DAY (inconsistent); diff pipeline path</t>
        </is>
      </c>
    </row>
    <row r="10" ht="30" customHeight="1">
      <c r="A10" s="3" t="inlineStr">
        <is>
          <t>daily_exposure</t>
        </is>
      </c>
      <c r="B10" s="4" t="inlineStr">
        <is>
          <t>dailyexposure CSV</t>
        </is>
      </c>
      <c r="C10" s="4" t="inlineStr">
        <is>
          <t>snapshot / reporting_date</t>
        </is>
      </c>
      <c r="D10" s="15" t="inlineStr">
        <is>
          <t>2.76M</t>
        </is>
      </c>
      <c r="E10" s="15" t="inlineStr">
        <is>
          <t>sup</t>
        </is>
      </c>
      <c r="F10" s="4" t="inlineStr">
        <is>
          <t>rescued_data, reporting_date</t>
        </is>
      </c>
      <c r="G10" s="4" t="inlineStr">
        <is>
          <t>fully typed; threshold/MTA are COPIES</t>
        </is>
      </c>
    </row>
    <row r="11" ht="30" customHeight="1">
      <c r="A11" s="3" t="inlineStr">
        <is>
          <t>disputes</t>
        </is>
      </c>
      <c r="B11" s="4" t="inlineStr">
        <is>
          <t>disputes CSV</t>
        </is>
      </c>
      <c r="C11" s="4" t="inlineStr">
        <is>
          <t>snapshot / reporting_date</t>
        </is>
      </c>
      <c r="D11" s="15" t="inlineStr">
        <is>
          <t>19k</t>
        </is>
      </c>
      <c r="E11" s="15" t="inlineStr">
        <is>
          <t>sup</t>
        </is>
      </c>
      <c r="F11" s="4" t="inlineStr">
        <is>
          <t>rescued_data, reporting_date</t>
        </is>
      </c>
      <c r="G11" s="4" t="inlineStr">
        <is>
          <t>time-&gt;TIMESTAMP, dispute_age-&gt;INT</t>
        </is>
      </c>
    </row>
    <row r="12" ht="30" customHeight="1">
      <c r="A12" s="16" t="inlineStr">
        <is>
          <t>eligible_collateral_1</t>
        </is>
      </c>
      <c r="B12" s="17" t="inlineStr">
        <is>
          <t>NEW (shadow of eligibility)</t>
        </is>
      </c>
      <c r="C12" s="4" t="inlineStr">
        <is>
          <t>none (no partition)</t>
        </is>
      </c>
      <c r="D12" s="15" t="inlineStr">
        <is>
          <t>manual</t>
        </is>
      </c>
      <c r="E12" s="15" t="inlineStr">
        <is>
          <t>no</t>
        </is>
      </c>
      <c r="F12" s="4" t="inlineStr">
        <is>
          <t>none</t>
        </is>
      </c>
      <c r="G12" s="4" t="inlineStr">
        <is>
          <t>'Created by file upload UI'; typos (Matuirty_Term_Form); QUARANTINE</t>
        </is>
      </c>
    </row>
    <row r="13" ht="30" customHeight="1">
      <c r="A13" s="7" t="inlineStr">
        <is>
          <t>fx_rates</t>
        </is>
      </c>
      <c r="B13" s="12" t="inlineStr">
        <is>
          <t>NEW</t>
        </is>
      </c>
      <c r="C13" s="4" t="inlineStr">
        <is>
          <t>none (reference)</t>
        </is>
      </c>
      <c r="D13" s="15" t="inlineStr">
        <is>
          <t>ref</t>
        </is>
      </c>
      <c r="E13" s="15" t="inlineStr">
        <is>
          <t>no</t>
        </is>
      </c>
      <c r="F13" s="4" t="inlineStr">
        <is>
          <t>none</t>
        </is>
      </c>
      <c r="G13" s="4" t="inlineStr">
        <is>
          <t>bid/offer by ccy; enables base-ccy normalization</t>
        </is>
      </c>
    </row>
    <row r="14" ht="30" customHeight="1">
      <c r="A14" s="7" t="inlineStr">
        <is>
          <t>mt569_asset_holdings</t>
        </is>
      </c>
      <c r="B14" s="12" t="inlineStr">
        <is>
          <t>NEW</t>
        </is>
      </c>
      <c r="C14" s="4" t="inlineStr">
        <is>
          <t>snapshot / reporting_date</t>
        </is>
      </c>
      <c r="D14" s="15" t="inlineStr">
        <is>
          <t>125k</t>
        </is>
      </c>
      <c r="E14" s="15" t="inlineStr">
        <is>
          <t>sup</t>
        </is>
      </c>
      <c r="F14" s="4" t="inlineStr">
        <is>
          <t>rescued_data, reporting_date</t>
        </is>
      </c>
      <c r="G14" s="4" t="inlineStr">
        <is>
          <t>SWIFT MT569 triparty = 2nd holdings source vs asset_holdings</t>
        </is>
      </c>
    </row>
    <row r="15" ht="30" customHeight="1">
      <c r="A15" s="3" t="inlineStr">
        <is>
          <t>organization</t>
        </is>
      </c>
      <c r="B15" s="4" t="inlineStr">
        <is>
          <t>organization sheet</t>
        </is>
      </c>
      <c r="C15" s="4" t="inlineStr">
        <is>
          <t>snapshot / reporting_date</t>
        </is>
      </c>
      <c r="D15" s="15" t="inlineStr">
        <is>
          <t>1.82M</t>
        </is>
      </c>
      <c r="E15" s="15" t="inlineStr">
        <is>
          <t>sup</t>
        </is>
      </c>
      <c r="F15" s="4" t="inlineStr">
        <is>
          <t>rescued_data, reporting_date</t>
        </is>
      </c>
      <c r="G15" s="4" t="inlineStr">
        <is>
          <t>party master (petrid)</t>
        </is>
      </c>
    </row>
    <row r="16" ht="30" customHeight="1">
      <c r="A16" s="3" t="inlineStr">
        <is>
          <t>repo_daily_exposure</t>
        </is>
      </c>
      <c r="B16" s="4" t="inlineStr">
        <is>
          <t>repo_daily_exposure sheet</t>
        </is>
      </c>
      <c r="C16" s="4" t="inlineStr">
        <is>
          <t>snapshot / reporting_date</t>
        </is>
      </c>
      <c r="D16" s="15" t="inlineStr">
        <is>
          <t>466k</t>
        </is>
      </c>
      <c r="E16" s="15" t="inlineStr">
        <is>
          <t>sup</t>
        </is>
      </c>
      <c r="F16" s="4" t="inlineStr">
        <is>
          <t>rescued_data, reporting_date</t>
        </is>
      </c>
      <c r="G16" s="4" t="inlineStr">
        <is>
          <t>dispute_age INT</t>
        </is>
      </c>
    </row>
    <row r="17" ht="30" customHeight="1">
      <c r="A17" s="3" t="inlineStr">
        <is>
          <t>repo_trades</t>
        </is>
      </c>
      <c r="B17" s="4" t="inlineStr">
        <is>
          <t>Repo_trades CSV</t>
        </is>
      </c>
      <c r="C17" s="4" t="inlineStr">
        <is>
          <t>snapshot / reporting_date</t>
        </is>
      </c>
      <c r="D17" s="15" t="inlineStr">
        <is>
          <t>155k</t>
        </is>
      </c>
      <c r="E17" s="15" t="inlineStr">
        <is>
          <t>sup</t>
        </is>
      </c>
      <c r="F17" s="4" t="inlineStr">
        <is>
          <t>rescued_data, reporting_date</t>
        </is>
      </c>
      <c r="G17" s="4" t="inlineStr">
        <is>
          <t>-</t>
        </is>
      </c>
    </row>
    <row r="18" ht="30" customHeight="1">
      <c r="A18" s="3" t="inlineStr">
        <is>
          <t>settlement_instructions</t>
        </is>
      </c>
      <c r="B18" s="4" t="inlineStr">
        <is>
          <t>settlementinstructions</t>
        </is>
      </c>
      <c r="C18" s="4" t="inlineStr">
        <is>
          <t>snapshot / reporting_date</t>
        </is>
      </c>
      <c r="D18" s="15" t="inlineStr">
        <is>
          <t>1.08M</t>
        </is>
      </c>
      <c r="E18" s="15" t="inlineStr">
        <is>
          <t>sup</t>
        </is>
      </c>
      <c r="F18" s="4" t="inlineStr">
        <is>
          <t>rescued_data, reporting_date</t>
        </is>
      </c>
      <c r="G18" s="4" t="inlineStr">
        <is>
          <t>agreement_id='1' broken key persists</t>
        </is>
      </c>
    </row>
    <row r="19" ht="30" customHeight="1">
      <c r="A19" s="3" t="inlineStr">
        <is>
          <t>trades</t>
        </is>
      </c>
      <c r="B19" s="4" t="inlineStr">
        <is>
          <t>trades CSV</t>
        </is>
      </c>
      <c r="C19" s="4" t="inlineStr">
        <is>
          <t>snapshot / reporting_date</t>
        </is>
      </c>
      <c r="D19" s="15" t="inlineStr">
        <is>
          <t>19.2M</t>
        </is>
      </c>
      <c r="E19" s="15" t="inlineStr">
        <is>
          <t>sup</t>
        </is>
      </c>
      <c r="F19" s="4" t="inlineStr">
        <is>
          <t>rescued_data, reporting_date</t>
        </is>
      </c>
      <c r="G19" s="4" t="inlineStr">
        <is>
          <t>biggest; strike/notional/pai typed dec</t>
        </is>
      </c>
    </row>
    <row r="21" ht="40" customHeight="1">
      <c r="A21" s="6" t="inlineStr">
        <is>
          <t>AUDIT / SYSTEM COLS (omitted in earlier samples)</t>
        </is>
      </c>
      <c r="B21" s="11" t="inlineStr">
        <is>
          <t>rescued_data (Auto Loader rescue - non-null = malformed row, a DQ signal) · reporting_date/day (partition/snapshot key) · [tblproperty] cmos.source_bronze_watermark v=NN;rows=NN (bronze version consumed).</t>
        </is>
      </c>
      <c r="C21" s="20" t="n"/>
      <c r="D21" s="20" t="n"/>
      <c r="E21" s="20" t="n"/>
      <c r="F21" s="20" t="n"/>
      <c r="G21" s="21" t="n"/>
    </row>
    <row r="22" ht="40" customHeight="1">
      <c r="A22" s="16" t="inlineStr">
        <is>
          <t>FABRICATED - not in CMOS</t>
        </is>
      </c>
      <c r="B22" s="17" t="inlineStr">
        <is>
          <t>trade_agreement_xref does NOT exist in cmos_core. Its data is from tams_ruleengine_bulk.json = TAMS, a DIFFERENT system. The trade-&gt;agreement resolver is CROSS-SYSTEM.</t>
        </is>
      </c>
      <c r="C22" s="20" t="n"/>
      <c r="D22" s="20" t="n"/>
      <c r="E22" s="20" t="n"/>
      <c r="F22" s="20" t="n"/>
      <c r="G22" s="21" t="n"/>
    </row>
    <row r="23" ht="40" customHeight="1">
      <c r="A23" s="6" t="inlineStr">
        <is>
          <t>SILVER TYPING (data unchanged, proven on agreements)</t>
        </is>
      </c>
      <c r="B23" s="11" t="inlineStr">
        <is>
          <t>money/thresholds/notionals -&gt; DECIMAL(38,10); haircut/pd/pai_rate -&gt; DECIMAL(18,8); dates -&gt; DATE; disputes.time -&gt; TIMESTAMP; dispute_age -&gt; INT. Content/keys/grain identical raw vs silver.</t>
        </is>
      </c>
      <c r="C23" s="20" t="n"/>
      <c r="D23" s="20" t="n"/>
      <c r="E23" s="20" t="n"/>
      <c r="F23" s="20" t="n"/>
      <c r="G23" s="21" t="n"/>
    </row>
    <row r="24" ht="40" customHeight="1">
      <c r="A24" s="7" t="inlineStr">
        <is>
          <t>STILL SNAPSHOT, NOT SCD2</t>
        </is>
      </c>
      <c r="B24" s="12" t="inlineStr">
        <is>
          <t>CDF protocol-supported on pipeline tables, but writes are partition-overwrite -&gt; snapshot grain, not versioned. SCD2 conform still to be built.</t>
        </is>
      </c>
      <c r="C24" s="20" t="n"/>
      <c r="D24" s="20" t="n"/>
      <c r="E24" s="20" t="n"/>
      <c r="F24" s="20" t="n"/>
      <c r="G24" s="21" t="n"/>
    </row>
    <row r="25" ht="40" customHeight="1">
      <c r="A25" s="16" t="inlineStr">
        <is>
          <t>DUPLICATION / MULTI-SOURCE FLAGS</t>
        </is>
      </c>
      <c r="B25" s="17" t="inlineStr">
        <is>
          <t>2 eligibility tables (collateral_eligibility vs eligible_collateral_1 shadow) · 2 holdings tables (asset_holdings Colline vs mt569_asset_holdings SWIFT) · agreements vs agreements_all_fields (typed subset vs raw superset).</t>
        </is>
      </c>
      <c r="C25" s="20" t="n"/>
      <c r="D25" s="20" t="n"/>
      <c r="E25" s="20" t="n"/>
      <c r="F25" s="20" t="n"/>
      <c r="G25" s="21" t="n"/>
    </row>
  </sheetData>
  <mergeCells count="7">
    <mergeCell ref="B24:G24"/>
    <mergeCell ref="A1:G1"/>
    <mergeCell ref="B22:G22"/>
    <mergeCell ref="B23:G23"/>
    <mergeCell ref="A2:G2"/>
    <mergeCell ref="B21:G21"/>
    <mergeCell ref="B25:G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8" customWidth="1" min="5" max="5"/>
  </cols>
  <sheetData>
    <row r="1" ht="22" customHeight="1">
      <c r="A1" s="1" t="inlineStr">
        <is>
          <t>Agreement / fact key resolution — measured on real silver data</t>
        </is>
      </c>
    </row>
    <row r="2">
      <c r="A2" s="2" t="inlineStr">
        <is>
          <t>agreement_id is a DEAD cross-table key despite being commented 'Primary key'. Real spine = external_id / event_id / instrument_id.</t>
        </is>
      </c>
    </row>
    <row r="4">
      <c r="A4" s="9" t="inlineStr">
        <is>
          <t>Join</t>
        </is>
      </c>
      <c r="B4" s="9" t="inlineStr">
        <is>
          <t>On key</t>
        </is>
      </c>
      <c r="C4" s="9" t="inlineStr">
        <is>
          <t>Rows</t>
        </is>
      </c>
      <c r="D4" s="9" t="inlineStr">
        <is>
          <t>Matched</t>
        </is>
      </c>
      <c r="E4" s="9" t="inlineStr">
        <is>
          <t>Coverage</t>
        </is>
      </c>
    </row>
    <row r="5" ht="26" customHeight="1">
      <c r="A5" s="7" t="inlineStr">
        <is>
          <t>daily_exposure -&gt; agreements</t>
        </is>
      </c>
      <c r="B5" s="12" t="inlineStr">
        <is>
          <t>agreement_id</t>
        </is>
      </c>
      <c r="C5" s="15" t="inlineStr">
        <is>
          <t>2,861,715</t>
        </is>
      </c>
      <c r="D5" s="15" t="inlineStr">
        <is>
          <t>0</t>
        </is>
      </c>
      <c r="E5" s="12" t="inlineStr">
        <is>
          <t>0%  DEAD</t>
        </is>
      </c>
    </row>
    <row r="6" ht="26" customHeight="1">
      <c r="A6" s="6" t="inlineStr">
        <is>
          <t>daily_exposure -&gt; agreements</t>
        </is>
      </c>
      <c r="B6" s="11" t="inlineStr">
        <is>
          <t>external_id</t>
        </is>
      </c>
      <c r="C6" s="15" t="inlineStr">
        <is>
          <t>2,861,715</t>
        </is>
      </c>
      <c r="D6" s="15" t="inlineStr">
        <is>
          <t>2,858,028</t>
        </is>
      </c>
      <c r="E6" s="11" t="inlineStr">
        <is>
          <t>99.9%  REAL</t>
        </is>
      </c>
    </row>
    <row r="7" ht="26" customHeight="1">
      <c r="A7" s="7" t="inlineStr">
        <is>
          <t>disputes -&gt; agreements</t>
        </is>
      </c>
      <c r="B7" s="12" t="inlineStr">
        <is>
          <t>agreement_id</t>
        </is>
      </c>
      <c r="C7" s="15" t="inlineStr">
        <is>
          <t>19,792</t>
        </is>
      </c>
      <c r="D7" s="15" t="inlineStr">
        <is>
          <t>0</t>
        </is>
      </c>
      <c r="E7" s="12" t="inlineStr">
        <is>
          <t>0%  DEAD</t>
        </is>
      </c>
    </row>
    <row r="8" ht="26" customHeight="1">
      <c r="A8" s="6" t="inlineStr">
        <is>
          <t>disputes -&gt; daily_exposure</t>
        </is>
      </c>
      <c r="B8" s="11" t="inlineStr">
        <is>
          <t>event_id</t>
        </is>
      </c>
      <c r="C8" s="15" t="inlineStr">
        <is>
          <t>19,792</t>
        </is>
      </c>
      <c r="D8" s="15" t="inlineStr">
        <is>
          <t>18,299</t>
        </is>
      </c>
      <c r="E8" s="11" t="inlineStr">
        <is>
          <t>92.5%  REAL</t>
        </is>
      </c>
    </row>
    <row r="9" ht="26" customHeight="1">
      <c r="A9" s="7" t="inlineStr">
        <is>
          <t>settlement_instructions -&gt; agreements</t>
        </is>
      </c>
      <c r="B9" s="12" t="inlineStr">
        <is>
          <t>agreement_id</t>
        </is>
      </c>
      <c r="C9" s="15" t="inlineStr">
        <is>
          <t>1,083,757</t>
        </is>
      </c>
      <c r="D9" s="15" t="inlineStr">
        <is>
          <t>822</t>
        </is>
      </c>
      <c r="E9" s="12" t="inlineStr">
        <is>
          <t>0.08%  DEAD</t>
        </is>
      </c>
    </row>
    <row r="10" ht="26" customHeight="1">
      <c r="A10" s="7" t="inlineStr">
        <is>
          <t>repo_daily_exposure -&gt; agreements</t>
        </is>
      </c>
      <c r="B10" s="12" t="inlineStr">
        <is>
          <t>agreement_id</t>
        </is>
      </c>
      <c r="C10" s="15" t="inlineStr">
        <is>
          <t>485,287</t>
        </is>
      </c>
      <c r="D10" s="15" t="inlineStr">
        <is>
          <t>0</t>
        </is>
      </c>
      <c r="E10" s="12" t="inlineStr">
        <is>
          <t>0%  DEAD</t>
        </is>
      </c>
    </row>
    <row r="11" ht="26" customHeight="1">
      <c r="A11" s="6" t="inlineStr">
        <is>
          <t>asset_holdings -&gt; agreements</t>
        </is>
      </c>
      <c r="B11" s="11" t="inlineStr">
        <is>
          <t>agreement_ext_id = external_id</t>
        </is>
      </c>
      <c r="C11" s="15" t="inlineStr">
        <is>
          <t>754,649</t>
        </is>
      </c>
      <c r="D11" s="15" t="inlineStr">
        <is>
          <t>753,597</t>
        </is>
      </c>
      <c r="E11" s="11" t="inlineStr">
        <is>
          <t>99.9%  REAL</t>
        </is>
      </c>
    </row>
    <row r="12" ht="26" customHeight="1">
      <c r="A12" s="6" t="inlineStr">
        <is>
          <t>asset_settlements -&gt; asset_holdings</t>
        </is>
      </c>
      <c r="B12" s="11" t="inlineStr">
        <is>
          <t>instrument_id</t>
        </is>
      </c>
      <c r="C12" s="15" t="inlineStr">
        <is>
          <t>1,367,265</t>
        </is>
      </c>
      <c r="D12" s="15" t="inlineStr">
        <is>
          <t>1,347,323</t>
        </is>
      </c>
      <c r="E12" s="11" t="inlineStr">
        <is>
          <t>98.5%  REAL</t>
        </is>
      </c>
    </row>
    <row r="14" ht="44" customHeight="1">
      <c r="A14" s="16" t="inlineStr">
        <is>
          <t>VERDICT</t>
        </is>
      </c>
      <c r="B14" s="17" t="inlineStr">
        <is>
          <t>The real join graph: daily_exposure-&gt;agreements via external_id (99.9%) · disputes-&gt;daily_exposure via event_id (92.5%) · holdings-&gt;agreements via external_id (99.9%) · settlements-&gt;holdings via instrument_id (98.5%). agreement_id joins at ~0% everywhere despite the 'Primary key' comment.</t>
        </is>
      </c>
      <c r="C14" s="20" t="n"/>
      <c r="D14" s="20" t="n"/>
      <c r="E14" s="21" t="n"/>
    </row>
    <row r="15" ht="44" customHeight="1">
      <c r="A15" s="6" t="inlineStr">
        <is>
          <t>PRODUCTION-QUERY EVIDENCE</t>
        </is>
      </c>
      <c r="B15" s="11" t="inlineStr">
        <is>
          <t>A real query joins assetholdings.Agreement_Ext_Id = agreements_all_fields.External_Id -- ext-id is the ESTABLISHED convention, not accidental. Same query hand-excludes junk descriptions (No/F/EUR/FALSE/150,000.00/rating-blob) = a manual quarantine re-written per query.</t>
        </is>
      </c>
      <c r="C15" s="20" t="n"/>
      <c r="D15" s="20" t="n"/>
      <c r="E15" s="21" t="n"/>
    </row>
    <row r="16" ht="44" customHeight="1">
      <c r="A16" s="6" t="inlineStr">
        <is>
          <t>ONTOLOGY vs RESOLUTION</t>
        </is>
      </c>
      <c r="B16" s="11" t="inlineStr">
        <is>
          <t>The collateral ontology models a LOGICAL relationship (Trade belongsTo Agreement) -- it names NO physical column, so it stayed correct. The physical key belongs in the resolution/mapping layer: canonical agreement key = external_id; agreement_id flagged 'labelled PK, DOES NOT JOIN'.</t>
        </is>
      </c>
      <c r="C16" s="20" t="n"/>
      <c r="D16" s="20" t="n"/>
      <c r="E16" s="21" t="n"/>
    </row>
    <row r="17" ht="44" customHeight="1">
      <c r="A17" s="7" t="inlineStr">
        <is>
          <t>CORRECTION TO EARLIER SYNTH</t>
        </is>
      </c>
      <c r="B17" s="12" t="inlineStr">
        <is>
          <t>My earlier lab data/DDL wired relationships on agreement_id (trusting the PK comment) -- WRONG. Regenerate on real keys: external_id / event_id / instrument_id; keep agreement_id present-but-dead (the 0% trap is the Genie test).</t>
        </is>
      </c>
      <c r="C17" s="20" t="n"/>
      <c r="D17" s="20" t="n"/>
      <c r="E17" s="21" t="n"/>
    </row>
    <row r="18" ht="44" customHeight="1">
      <c r="A18" s="16" t="inlineStr">
        <is>
          <t>GENIE IMPLICATION</t>
        </is>
      </c>
      <c r="B18" s="17" t="inlineStr">
        <is>
          <t>Query history encodes the CORRECT key (external_id) that the schema comment gets WRONG. A case where inferred (from real queries) beats declared (a wrong PK comment). The POC test: does OntoRank pick external_id from query history, or fall for the agreement_id PK comment?</t>
        </is>
      </c>
      <c r="C18" s="20" t="n"/>
      <c r="D18" s="20" t="n"/>
      <c r="E18" s="21" t="n"/>
    </row>
  </sheetData>
  <mergeCells count="7">
    <mergeCell ref="B17:E17"/>
    <mergeCell ref="B18:E18"/>
    <mergeCell ref="A2:E2"/>
    <mergeCell ref="B16:E16"/>
    <mergeCell ref="B15:E15"/>
    <mergeCell ref="A1:E1"/>
    <mergeCell ref="B14:E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0" customWidth="1" min="3" max="3"/>
    <col width="30" customWidth="1" min="4" max="4"/>
  </cols>
  <sheetData>
    <row r="1" ht="22" customHeight="1">
      <c r="A1" s="1" t="inlineStr">
        <is>
          <t>POC findings — what the live Genie test proved (CMOS silver, Free edition)</t>
        </is>
      </c>
    </row>
    <row r="2">
      <c r="A2" s="2" t="inlineStr">
        <is>
          <t>One conversation, real data, before/after SQL captured. The through-line: Genie drafts; governance decides.</t>
        </is>
      </c>
    </row>
    <row r="3" ht="62" customHeight="1">
      <c r="A3" s="16" t="inlineStr">
        <is>
          <t>THE THROUGH-LINE</t>
        </is>
      </c>
      <c r="B3" s="17" t="inlineStr">
        <is>
          <t>Genie is strong at STRUCTURE it can see (joins, keys, column names) and it LEARNS columns from usage (query history). But it cannot supply MEANING or RULES - what a counterparty resolves to, what 'collateral' means, what grain is safe to aggregate. Those are governance, and they hold ONLY while declared. Remove the instruction and the confident-but-wrong answer returns. Every wrong answer looked exactly as clean and confident as the right one.</t>
        </is>
      </c>
      <c r="C3" s="20" t="n"/>
      <c r="D3" s="21" t="n"/>
    </row>
    <row r="5">
      <c r="A5" s="9" t="inlineStr">
        <is>
          <t>Layer tested</t>
        </is>
      </c>
      <c r="B5" s="9" t="inlineStr">
        <is>
          <t>Default (no help)</t>
        </is>
      </c>
      <c r="C5" s="9" t="inlineStr">
        <is>
          <t>After governance</t>
        </is>
      </c>
      <c r="D5" s="9" t="inlineStr">
        <is>
          <t>Verdict</t>
        </is>
      </c>
    </row>
    <row r="6" ht="40" customHeight="1">
      <c r="A6" s="6" t="inlineStr">
        <is>
          <t>Join key (external_id vs dead agreement_id)</t>
        </is>
      </c>
      <c r="B6" s="4" t="inlineStr">
        <is>
          <t>Chose external_id correctly on its own</t>
        </is>
      </c>
      <c r="C6" s="4" t="inlineStr">
        <is>
          <t>n/a - already right</t>
        </is>
      </c>
      <c r="D6" s="11" t="inlineStr">
        <is>
          <t>PASS unaided (column naming saved it)</t>
        </is>
      </c>
    </row>
    <row r="7" ht="40" customHeight="1">
      <c r="A7" s="16" t="inlineStr">
        <is>
          <t>Entity resolution (Central 1 -&gt; BCCU)</t>
        </is>
      </c>
      <c r="B7" s="4" t="inlineStr">
        <is>
          <t>ILIKE '%Central 1%' - fuzzy, ambiguous</t>
        </is>
      </c>
      <c r="C7" s="4">
        <f> 'BCCU' after a one-line instruction</f>
        <v/>
      </c>
      <c r="D7" s="17" t="inlineStr">
        <is>
          <t>NEEDS instruction</t>
        </is>
      </c>
    </row>
    <row r="8" ht="40" customHeight="1">
      <c r="A8" s="7" t="inlineStr">
        <is>
          <t>Measure semantics (haircut vs amount)</t>
        </is>
      </c>
      <c r="B8" s="4" t="inlineStr">
        <is>
          <t>Summed valuation_haircut (a %) as collateral - WRONG, unflagged</t>
        </is>
      </c>
      <c r="C8" s="4" t="inlineStr">
        <is>
          <t>SUM(reported_collateral_value) after instruction</t>
        </is>
      </c>
      <c r="D8" s="12" t="inlineStr">
        <is>
          <t>NEEDS definition - right table alone was NOT enough</t>
        </is>
      </c>
    </row>
    <row r="9" ht="40" customHeight="1">
      <c r="A9" s="7" t="inlineStr">
        <is>
          <t>Grain (snapshot double-count)</t>
        </is>
      </c>
      <c r="B9" s="4" t="inlineStr">
        <is>
          <t>5x overcount across 5 snapshots</t>
        </is>
      </c>
      <c r="C9" s="4" t="inlineStr">
        <is>
          <t>Latest reporting_date after instruction</t>
        </is>
      </c>
      <c r="D9" s="12" t="inlineStr">
        <is>
          <t>NEEDS rule; returned when instruction removed</t>
        </is>
      </c>
    </row>
    <row r="10" ht="40" customHeight="1">
      <c r="A10" s="16" t="inlineStr">
        <is>
          <t>Metric-view generation</t>
        </is>
      </c>
      <c r="B10" s="4" t="inlineStr">
        <is>
          <t>Drafts YAML but FABRICATES a comment when the table has none</t>
        </is>
      </c>
      <c r="C10" s="4" t="inlineStr">
        <is>
          <t>Human edits comment + fixes partition, then Create</t>
        </is>
      </c>
      <c r="D10" s="17" t="inlineStr">
        <is>
          <t>DRAFT - confirm before serve</t>
        </is>
      </c>
    </row>
    <row r="12" ht="46" customHeight="1">
      <c r="A12" s="6" t="inlineStr">
        <is>
          <t>For the engineers ('just upload and let Genie do it')</t>
        </is>
      </c>
      <c r="B12" s="11" t="inlineStr">
        <is>
          <t>Partly true: Genie learns columns from usage and gets joins right when names are clean. NOT true for meaning: it summed a haircut as 'collateral', double-counted snapshots, and invented documentation - all confidently, none flagged. In a risk report nobody catches the 5x until a regulator does.</t>
        </is>
      </c>
      <c r="C12" s="20" t="n"/>
      <c r="D12" s="21" t="n"/>
    </row>
    <row r="13" ht="46" customHeight="1">
      <c r="A13" s="6" t="inlineStr">
        <is>
          <t>What Genie did well</t>
        </is>
      </c>
      <c r="B13" s="11" t="inlineStr">
        <is>
          <t>Resolved the right join key unaided; learned the right column from query history; in Agent mode it even diagnosed its own bad measure. Real capability - a genuine head start.</t>
        </is>
      </c>
      <c r="C13" s="20" t="n"/>
      <c r="D13" s="21" t="n"/>
    </row>
    <row r="14" ht="46" customHeight="1">
      <c r="A14" s="6" t="inlineStr">
        <is>
          <t>What only governance fixed</t>
        </is>
      </c>
      <c r="B14" s="11" t="inlineStr">
        <is>
          <t>Entity resolution (code, not fuzzy name), the measure definition, the aggregation grain, and the metric-view comment. Each is exactly your registry / instructions / metric-view layer. Each held only while declared.</t>
        </is>
      </c>
      <c r="C14" s="20" t="n"/>
      <c r="D14" s="21" t="n"/>
    </row>
    <row r="15" ht="46" customHeight="1">
      <c r="A15" s="6" t="inlineStr">
        <is>
          <t>Metric-view create flow (confirmed)</t>
        </is>
      </c>
      <c r="B15" s="11" t="inlineStr">
        <is>
          <t>Genie shows a DRAFT YAML (structure + types + partition + a synthesised comment) -&gt; you review &amp; correct (fix the fabricated comment, the reporting_day/date partition) -&gt; you click Create -&gt; the metric view is created. The confirm step is where governance enters.</t>
        </is>
      </c>
      <c r="C15" s="20" t="n"/>
      <c r="D15" s="21" t="n"/>
    </row>
    <row r="16" ht="46" customHeight="1">
      <c r="A16" s="6" t="inlineStr">
        <is>
          <t>Recommended next</t>
        </is>
      </c>
      <c r="B16" s="11" t="inlineStr">
        <is>
          <t>1) Replace fabricated metric-view comments with CDM/ontology definitions before Create. 2) Move the working instructions (BCCU alias, collateral=reported_collateral_value, latest-snapshot grain) into governed Metric Views + trusted assets so they survive. 3) Repeat the 4-lesson test on a second app to confirm the pattern generalises.</t>
        </is>
      </c>
      <c r="C16" s="20" t="n"/>
      <c r="D16" s="21" t="n"/>
    </row>
  </sheetData>
  <mergeCells count="8">
    <mergeCell ref="A1:D1"/>
    <mergeCell ref="B3:D3"/>
    <mergeCell ref="B14:D14"/>
    <mergeCell ref="B15:D15"/>
    <mergeCell ref="B13:D13"/>
    <mergeCell ref="A2:D2"/>
    <mergeCell ref="B12:D12"/>
    <mergeCell ref="B16:D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44" customWidth="1" min="4" max="4"/>
    <col width="26" customWidth="1" min="5" max="5"/>
  </cols>
  <sheetData>
    <row r="1">
      <c r="A1" s="1" t="inlineStr">
        <is>
          <t>MicroStrategy (Strategy) semantic model  vs  Databricks Metric View</t>
        </is>
      </c>
    </row>
    <row r="2">
      <c r="A2" s="2" t="inlineStr">
        <is>
          <t>MSTR = a MODEL (semantic graph: entities, hierarchies, join paths, level metrics). Metric View = a governed CALCULATION surface. Example column shows what each capability MEANS.</t>
        </is>
      </c>
    </row>
    <row r="4">
      <c r="A4" s="9" t="inlineStr">
        <is>
          <t>Capability</t>
        </is>
      </c>
      <c r="B4" s="9" t="inlineStr">
        <is>
          <t>MicroStrategy (model-driven)</t>
        </is>
      </c>
      <c r="C4" s="9" t="inlineStr">
        <is>
          <t>Metric View (query-driven)</t>
        </is>
      </c>
      <c r="D4" s="9" t="inlineStr">
        <is>
          <t>Worked example</t>
        </is>
      </c>
      <c r="E4" s="9" t="inlineStr">
        <is>
          <t>Verdict</t>
        </is>
      </c>
    </row>
    <row r="5" ht="64" customHeight="1">
      <c r="A5" s="16" t="inlineStr">
        <is>
          <t>Joins / relationships</t>
        </is>
      </c>
      <c r="B5" s="11" t="inlineStr">
        <is>
          <t>Defined ONCE in the Semantic Graph; engine auto-picks the join path for ANY question by traversing the graph.</t>
        </is>
      </c>
      <c r="C5" s="13" t="inlineStr">
        <is>
          <t>Hand-written in each view's YAML `joins:` block; apply only to THAT view. No cross-estate graph.</t>
        </is>
      </c>
      <c r="D5" s="4" t="inlineStr">
        <is>
          <t>MSTR: ask 'exposure by issuer country' and it finds trade-&gt;counterparty-&gt;country automatically. MV: you must have pre-joined those tables inside the view, or it can't answer.</t>
        </is>
      </c>
      <c r="E5" s="4" t="inlineStr">
        <is>
          <t>MSTR richer (reusable graph); MV explicit per-view.</t>
        </is>
      </c>
    </row>
    <row r="6" ht="64" customHeight="1">
      <c r="A6" s="16" t="inlineStr">
        <is>
          <t>Hierarchy</t>
        </is>
      </c>
      <c r="B6" s="11" t="inlineStr">
        <is>
          <t>First-class parent-&gt;child chains (Region-&gt;Desk-&gt;Book-&gt;Trade). Engine knows book rolls up into desk into region.</t>
        </is>
      </c>
      <c r="C6" s="13" t="inlineStr">
        <is>
          <t>No hierarchy concept. Dimensions are FLAT &amp; independent; you can GROUP BY any, but none rolls up into another.</t>
        </is>
      </c>
      <c r="D6" s="4" t="inlineStr">
        <is>
          <t>MSTR: Region total = sum of its Desks = sum of their Books, enforced. MV: region, desk, book are 3 separate columns; nothing says book belongs to desk.</t>
        </is>
      </c>
      <c r="E6" s="4" t="inlineStr">
        <is>
          <t>GAP - MV has no hierarchy.</t>
        </is>
      </c>
    </row>
    <row r="7" ht="64" customHeight="1">
      <c r="A7" s="16" t="inlineStr">
        <is>
          <t>Drill paths</t>
        </is>
      </c>
      <c r="B7" s="11" t="inlineStr">
        <is>
          <t>Click Region -&gt; expand to Desks -&gt; expand to Books. The UI knows the chain.</t>
        </is>
      </c>
      <c r="C7" s="13" t="inlineStr">
        <is>
          <t>No drill. You re-ask/re-group ('now by desk'). Genie can re-query, but there is no declared drill chain.</t>
        </is>
      </c>
      <c r="D7" s="4" t="inlineStr">
        <is>
          <t>MSTR dossier: click 'Rates desk' -&gt; auto-drills to its books. MV/Genie: you type a new question 'by book for Rates desk'.</t>
        </is>
      </c>
      <c r="E7" s="4" t="inlineStr">
        <is>
          <t>GAP - MV has no drill.</t>
        </is>
      </c>
    </row>
    <row r="8" ht="64" customHeight="1">
      <c r="A8" s="16" t="inlineStr">
        <is>
          <t>Level metric</t>
        </is>
      </c>
      <c r="B8" s="11" t="inlineStr">
        <is>
          <t>Metric locked to a grain regardless of report grain (e.g. Counterparty Exposure shown on every trade row).</t>
        </is>
      </c>
      <c r="C8" s="13" t="inlineStr">
        <is>
          <t>Approximated via LOD / window measures (PARTITION BY). Experimental. See Tab 18.</t>
        </is>
      </c>
      <c r="D8" s="4" t="inlineStr">
        <is>
          <t>Counterparty Total Exposure = 500M shown on each of its 40 trade rows, so 'trade share of cpty' = trade/500M. MSTR: native level metric. MV: fixed-LOD window measure.</t>
        </is>
      </c>
      <c r="E8" s="4" t="inlineStr">
        <is>
          <t>MV PARTIAL via LOD (experimental).</t>
        </is>
      </c>
    </row>
    <row r="9" ht="64" customHeight="1">
      <c r="A9" s="16" t="inlineStr">
        <is>
          <t>Measure authoring</t>
        </is>
      </c>
      <c r="B9" s="11" t="inlineStr">
        <is>
          <t>Rich GUI Metric Editor: simple, compound, conditional, transformation (YoY), nested, level metrics - with guardrails.</t>
        </is>
      </c>
      <c r="C9" s="13" t="inlineStr">
        <is>
          <t>YAML by hand: you key SUM/COUNT/AVG/ratio yourself and must know the right aggregation.</t>
        </is>
      </c>
      <c r="D9" s="4" t="inlineStr">
        <is>
          <t>MSTR: pick 'weighted avg' from a menu. MV: type SUM(mv*hc)/NULLIF(SUM(mv),0) correctly by hand.</t>
        </is>
      </c>
      <c r="E9" s="4" t="inlineStr">
        <is>
          <t>MSTR easier/guarded; MV = code.</t>
        </is>
      </c>
    </row>
    <row r="10" ht="64" customHeight="1">
      <c r="A10" s="16" t="inlineStr">
        <is>
          <t>Conformity / forms</t>
        </is>
      </c>
      <c r="B10" s="11" t="inlineStr">
        <is>
          <t>Attribute 'forms' + conforming logic so an attribute means the same across every report.</t>
        </is>
      </c>
      <c r="C10" s="13" t="inlineStr">
        <is>
          <t>None natively. Conformity is done UPSTREAM (your governed tables / ontology) before the view.</t>
        </is>
      </c>
      <c r="D10" s="4" t="inlineStr">
        <is>
          <t>MSTR: 'Counterparty' conformed once, same everywhere. MV: relies on your entity_alignment upstream.</t>
        </is>
      </c>
      <c r="E10" s="4" t="inlineStr">
        <is>
          <t>Different layer - MV pushes it upstream.</t>
        </is>
      </c>
    </row>
    <row r="11" ht="64" customHeight="1">
      <c r="A11" s="16" t="inlineStr">
        <is>
          <t>Where calc lives / travels</t>
        </is>
      </c>
      <c r="B11" s="11" t="inlineStr">
        <is>
          <t>Inside MSTR's proprietary metadata repo. Does NOT travel to SQL/notebooks/other tools.</t>
        </is>
      </c>
      <c r="C11" s="13" t="inlineStr">
        <is>
          <t>In Unity Catalog. Travels to Databricks SQL, notebooks, Genie, and BI alike; auditable YAML.</t>
        </is>
      </c>
      <c r="D11" s="4" t="inlineStr">
        <is>
          <t>Quant in a notebook CAN call the MV measure; CANNOT call an MSTR metric.</t>
        </is>
      </c>
      <c r="E11" s="4" t="inlineStr">
        <is>
          <t>MV wins on portability + audit.</t>
        </is>
      </c>
    </row>
    <row r="12" ht="64" customHeight="1">
      <c r="A12" s="16" t="inlineStr">
        <is>
          <t>Audit</t>
        </is>
      </c>
      <c r="B12" s="11" t="inlineStr">
        <is>
          <t>Calc in metadata repo; auditable within MSTR.</t>
        </is>
      </c>
      <c r="C12" s="13" t="inlineStr">
        <is>
          <t>Calc is YAML in Unity Catalog / Git; defined once, generated everywhere, fully auditable.</t>
        </is>
      </c>
      <c r="D12" s="4" t="inlineStr">
        <is>
          <t>BCBS-239: 'show the governed definition' -&gt; MV points to the YAML line.</t>
        </is>
      </c>
      <c r="E12" s="4" t="inlineStr">
        <is>
          <t>Both audit; MV is open/portable.</t>
        </is>
      </c>
    </row>
    <row r="13" ht="64" customHeight="1">
      <c r="A13" s="16" t="inlineStr">
        <is>
          <t>Portability</t>
        </is>
      </c>
      <c r="B13" s="11" t="inlineStr">
        <is>
          <t>Locked to MicroStrategy.</t>
        </is>
      </c>
      <c r="C13" s="13" t="inlineStr">
        <is>
          <t>Locked to Databricks (but open YAML; OSI interchange emerging).</t>
        </is>
      </c>
      <c r="D13" s="4" t="inlineStr">
        <is>
          <t>Neither is truly cross-platform today.</t>
        </is>
      </c>
      <c r="E13" s="4" t="inlineStr">
        <is>
          <t>Tie (both single-vendor).</t>
        </is>
      </c>
    </row>
    <row r="15" ht="58" customHeight="1">
      <c r="A15" s="16" t="inlineStr">
        <is>
          <t>ONE-LINE</t>
        </is>
      </c>
      <c r="B15" s="17" t="inlineStr">
        <is>
          <t>MicroStrategy is a semantic MODEL (structure + hierarchy + drill + level metrics, SQL generated from it). The Metric View is a governed CALCULATION (measures+dimensions+joins+filter, SQL written against it). MV moves calc governance into Unity Catalog (huge: travels + auditable); it does NOT hold hierarchy, drill, or a reusable join graph - that is your ontology, upstream.</t>
        </is>
      </c>
      <c r="C15" s="20" t="n"/>
      <c r="D15" s="20" t="n"/>
      <c r="E15" s="21" t="n"/>
    </row>
  </sheetData>
  <mergeCells count="3">
    <mergeCell ref="A2:E2"/>
    <mergeCell ref="B15:E15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Window measures &amp; LOD - the metric-view answer to 'level metrics'</t>
        </is>
      </c>
    </row>
    <row r="2">
      <c r="A2" s="2" t="inlineStr">
        <is>
          <t>A window measure = a measure built with a SQL window function OVER(PARTITION BY...). Its main use is LOD: compute at a grain different from the query. NOTE: window measures are EXPERIMENTAL.</t>
        </is>
      </c>
    </row>
    <row r="4">
      <c r="A4" s="9" t="inlineStr">
        <is>
          <t>Concept</t>
        </is>
      </c>
      <c r="B4" s="9" t="inlineStr">
        <is>
          <t>What it does</t>
        </is>
      </c>
      <c r="C4" s="9" t="inlineStr">
        <is>
          <t>Example (YAML / SQL)</t>
        </is>
      </c>
    </row>
    <row r="5" ht="52" customHeight="1">
      <c r="A5" s="5" t="inlineStr">
        <is>
          <t>Window measure</t>
        </is>
      </c>
      <c r="B5" s="4" t="inlineStr">
        <is>
          <t>A measure using OVER(PARTITION BY ...) instead of a plain aggregate. Basis for LOD.</t>
        </is>
      </c>
      <c r="C5" s="4" t="inlineStr">
        <is>
          <t>expr: SUM(exposure) OVER (PARTITION BY counterparty)</t>
        </is>
      </c>
    </row>
    <row r="6" ht="52" customHeight="1">
      <c r="A6" s="5" t="inlineStr">
        <is>
          <t>Fixed LOD  = level metric</t>
        </is>
      </c>
      <c r="B6" s="4" t="inlineStr">
        <is>
          <t>Aggregate at a FIXED grain, ignoring the query's grouping. This IS MicroStrategy's 'level metric'.</t>
        </is>
      </c>
      <c r="C6" s="4" t="inlineStr">
        <is>
          <t>Every trade row shows its COUNTERPARTY total: SUM(exposure) OVER (PARTITION BY counterparty), exposed as a dimension. Then trade-share = exposure / that.</t>
        </is>
      </c>
    </row>
    <row r="7" ht="52" customHeight="1">
      <c r="A7" s="5" t="inlineStr">
        <is>
          <t>Coarser LOD  = % of total</t>
        </is>
      </c>
      <c r="B7" s="4" t="inlineStr">
        <is>
          <t>Aggregate at a COARSER grain than the query (exclude a field from the partition). Used for share-of-total.</t>
        </is>
      </c>
      <c r="C7" s="4" t="inlineStr">
        <is>
          <t>measure all_cpty:  expr: SUM(exposure)  window: [{order: counterparty, range: all}]  -&gt; pct = SUM(exposure)/all_cpty</t>
        </is>
      </c>
    </row>
    <row r="8" ht="52" customHeight="1">
      <c r="A8" s="5" t="inlineStr">
        <is>
          <t>Window ranges</t>
        </is>
      </c>
      <c r="B8" s="4" t="inlineStr">
        <is>
          <t>cumulative / trailing / leading / all - for running totals &amp; moving windows.</t>
        </is>
      </c>
      <c r="C8" s="4" t="inlineStr">
        <is>
          <t>Running collateral: expr SUM(value) window {order: reporting_date, range: cumulative}</t>
        </is>
      </c>
    </row>
    <row r="9" ht="52" customHeight="1">
      <c r="A9" s="5" t="inlineStr">
        <is>
          <t>What it does NOT give</t>
        </is>
      </c>
      <c r="B9" s="4" t="inlineStr">
        <is>
          <t>LOD gives level-metric-style calcs, but NOT drillable hierarchy or declared roll-up. Grouping by a DATE_TRUNC breaks the link and can return wrong results.</t>
        </is>
      </c>
      <c r="C9" s="4" t="inlineStr">
        <is>
          <t>So: level metric ~ YES (via LOD); hierarchy/drill = still NO.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If we model the ontology in Erwin and generate metric views from it</t>
        </is>
      </c>
    </row>
    <row r="2">
      <c r="A2" s="2" t="inlineStr">
        <is>
          <t>Your question: author the model in a visual ERD tool (Erwin), export (JSON/XML), and a gateway converts it into metric-view YAML. What that solves - and what stays open.</t>
        </is>
      </c>
    </row>
    <row r="4">
      <c r="A4" s="9" t="inlineStr">
        <is>
          <t>Ontology concept (in Erwin)</t>
        </is>
      </c>
      <c r="B4" s="9" t="inlineStr">
        <is>
          <t>Does it project into a Metric View?</t>
        </is>
      </c>
      <c r="C4" s="9" t="inlineStr">
        <is>
          <t>Note</t>
        </is>
      </c>
    </row>
    <row r="5" ht="40" customHeight="1">
      <c r="A5" s="5" t="inlineStr">
        <is>
          <t>Entities &amp; their columns</t>
        </is>
      </c>
      <c r="B5" s="13" t="inlineStr">
        <is>
          <t>YES</t>
        </is>
      </c>
      <c r="C5" s="4" t="inlineStr">
        <is>
          <t>Become the source table + dimensions.</t>
        </is>
      </c>
    </row>
    <row r="6" ht="40" customHeight="1">
      <c r="A6" s="5" t="inlineStr">
        <is>
          <t>Relationships / join paths</t>
        </is>
      </c>
      <c r="B6" s="13" t="inlineStr">
        <is>
          <t>YES (partly)</t>
        </is>
      </c>
      <c r="C6" s="4" t="inlineStr">
        <is>
          <t>Erwin FKs -&gt; the view's `joins:` block. But each MV bakes specific joins; there is no live cross-estate graph like MSTR.</t>
        </is>
      </c>
    </row>
    <row r="7" ht="40" customHeight="1">
      <c r="A7" s="5" t="inlineStr">
        <is>
          <t>Measure definitions</t>
        </is>
      </c>
      <c r="B7" s="13" t="inlineStr">
        <is>
          <t>YES</t>
        </is>
      </c>
      <c r="C7" s="4" t="inlineStr">
        <is>
          <t>If Erwin carries the calc (or your registry does) -&gt; `measures:` (SUM/COUNT/weighted-avg).</t>
        </is>
      </c>
    </row>
    <row r="8" ht="40" customHeight="1">
      <c r="A8" s="5" t="inlineStr">
        <is>
          <t>Grain / snapshot rule</t>
        </is>
      </c>
      <c r="B8" s="13" t="inlineStr">
        <is>
          <t>YES</t>
        </is>
      </c>
      <c r="C8" s="4" t="inlineStr">
        <is>
          <t>-&gt; the `filter:` (latest reporting_date).</t>
        </is>
      </c>
    </row>
    <row r="9" ht="40" customHeight="1">
      <c r="A9" s="5" t="inlineStr">
        <is>
          <t>Conformance (same entity across apps)</t>
        </is>
      </c>
      <c r="B9" s="13" t="inlineStr">
        <is>
          <t>YES (upstream)</t>
        </is>
      </c>
      <c r="C9" s="4" t="inlineStr">
        <is>
          <t>Erwin/your entity_alignment resolves keys (external_id) BEFORE the view; the view consumes conformed data.</t>
        </is>
      </c>
    </row>
    <row r="10" ht="40" customHeight="1">
      <c r="A10" s="7" t="inlineStr">
        <is>
          <t>HIERARCHY (Region-&gt;Desk-&gt;Book)</t>
        </is>
      </c>
      <c r="B10" s="12" t="inlineStr">
        <is>
          <t>NO</t>
        </is>
      </c>
      <c r="C10" s="4" t="inlineStr">
        <is>
          <t>Erwin can DRAW the hierarchy, but a metric view has no hierarchy object to receive it. Stays flat dimensions.</t>
        </is>
      </c>
    </row>
    <row r="11" ht="40" customHeight="1">
      <c r="A11" s="7" t="inlineStr">
        <is>
          <t>DRILL PATHS</t>
        </is>
      </c>
      <c r="B11" s="12" t="inlineStr">
        <is>
          <t>NO</t>
        </is>
      </c>
      <c r="C11" s="4" t="inlineStr">
        <is>
          <t>Not a metric-view concept. Would live in the BI tool (MSTR / AI-BI dashboard), not the MV.</t>
        </is>
      </c>
    </row>
    <row r="12" ht="40" customHeight="1">
      <c r="A12" s="7" t="inlineStr">
        <is>
          <t>LEVEL METRICS</t>
        </is>
      </c>
      <c r="B12" s="12" t="inlineStr">
        <is>
          <t>PARTIAL</t>
        </is>
      </c>
      <c r="C12" s="4" t="inlineStr">
        <is>
          <t>Recoverable via LOD/window measures (experimental) - but you must author each one; Erwin won't auto-generate them.</t>
        </is>
      </c>
    </row>
    <row r="14" ht="64" customHeight="1">
      <c r="A14" s="16" t="inlineStr">
        <is>
          <t>VERDICT</t>
        </is>
      </c>
      <c r="B14" s="17" t="inlineStr">
        <is>
          <t>Erwin -&gt; gateway -&gt; metric-view YAML is a SOUND pattern for the CALCULATION + JOIN + GRAIN layer (your 'author once in the model, project to Databricks' idea - same as Erwin-as-source-of-truth). But hierarchy, drill paths, and level metrics do NOT have a metric-view home. Those remain either (a) in the BI tool (MSTR / AI-BI dashboards) for drill/hierarchy, or (b) hand-authored LOD measures for level metrics. So: the model generates the MV; the drill/hierarchy layer stays open and lives in BI.</t>
        </is>
      </c>
      <c r="C14" s="21" t="n"/>
    </row>
  </sheetData>
  <mergeCells count="3">
    <mergeCell ref="A1:C1"/>
    <mergeCell ref="B14:C14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0" customWidth="1" min="3" max="3"/>
    <col width="28" customWidth="1" min="4" max="4"/>
    <col width="30" customWidth="1" min="5" max="5"/>
  </cols>
  <sheetData>
    <row r="1">
      <c r="A1" s="1" t="inlineStr">
        <is>
          <t>Semantic capabilities across 4 tools: Databricks Metric View vs MicroStrategy vs Tableau vs Power BI</t>
        </is>
      </c>
    </row>
    <row r="2">
      <c r="A2" s="2" t="inlineStr">
        <is>
          <t>Same capability, four dialects. Header colours: MV=blue, MSTR=green, Tableau=yellow, Power BI=orange.</t>
        </is>
      </c>
    </row>
    <row r="4">
      <c r="A4" s="9" t="inlineStr">
        <is>
          <t>Capability</t>
        </is>
      </c>
      <c r="B4" s="22" t="inlineStr">
        <is>
          <t>Databricks Metric View</t>
        </is>
      </c>
      <c r="C4" s="23" t="inlineStr">
        <is>
          <t>MicroStrategy</t>
        </is>
      </c>
      <c r="D4" s="24" t="inlineStr">
        <is>
          <t>Tableau</t>
        </is>
      </c>
      <c r="E4" s="25" t="inlineStr">
        <is>
          <t>Power BI</t>
        </is>
      </c>
    </row>
    <row r="5" ht="66" customHeight="1">
      <c r="A5" s="16" t="inlineStr">
        <is>
          <t>LOD / level metric  (compute at a grain != the view)</t>
        </is>
      </c>
      <c r="B5" s="13" t="inlineStr">
        <is>
          <t>Window measure: SUM(x) OVER (PARTITION BY cpty), or coarser-LOD window range:all. EXPERIMENTAL.</t>
        </is>
      </c>
      <c r="C5" s="11" t="inlineStr">
        <is>
          <t>Native LEVEL METRIC in the Metric Editor - lock a metric to a grain (e.g. counterparty).</t>
        </is>
      </c>
      <c r="D5" s="17" t="inlineStr">
        <is>
          <t>LOD expressions: {FIXED [Cpty]: SUM([Value])} (also INCLUDE / EXCLUDE).</t>
        </is>
      </c>
      <c r="E5" s="12" t="inlineStr">
        <is>
          <t>DAX: CALCULATE(SUM(Value), ALLEXCEPT(T, T[Cpty])). No explicit LOD keyword - you steer filter context.</t>
        </is>
      </c>
    </row>
    <row r="6" ht="66" customHeight="1">
      <c r="A6" s="16" t="inlineStr">
        <is>
          <t>Hierarchy  (Region-&gt;Desk-&gt;Book-&gt;Trade)</t>
        </is>
      </c>
      <c r="B6" s="13" t="inlineStr">
        <is>
          <t>NONE. Flat dimensions; GROUP BY any, no roll-up declared.</t>
        </is>
      </c>
      <c r="C6" s="11" t="inlineStr">
        <is>
          <t>Native attribute hierarchies (parent-&gt;child) with enforced roll-up.</t>
        </is>
      </c>
      <c r="D6" s="17" t="inlineStr">
        <is>
          <t>Built in the viz (drag dims into a hierarchy) + set-based; lightweight.</t>
        </is>
      </c>
      <c r="E6" s="12" t="inlineStr">
        <is>
          <t>Native hierarchies in the data model (Fields -&gt; Create hierarchy).</t>
        </is>
      </c>
    </row>
    <row r="7" ht="66" customHeight="1">
      <c r="A7" s="16" t="inlineStr">
        <is>
          <t>Drill down / drill through</t>
        </is>
      </c>
      <c r="B7" s="13" t="inlineStr">
        <is>
          <t>NONE. Re-ask/re-group (Genie re-queries). No declared drill chain.</t>
        </is>
      </c>
      <c r="C7" s="11" t="inlineStr">
        <is>
          <t>Rich drill + drill-through in dossiers; engine knows the path.</t>
        </is>
      </c>
      <c r="D7" s="17" t="inlineStr">
        <is>
          <t>Drill up/down on hierarchies; actions for drill-through.</t>
        </is>
      </c>
      <c r="E7" s="12" t="inlineStr">
        <is>
          <t>Drill down/up on visuals; drillthrough pages to detail.</t>
        </is>
      </c>
    </row>
    <row r="8" ht="66" customHeight="1">
      <c r="A8" s="16" t="inlineStr">
        <is>
          <t>Where the MODEL lives</t>
        </is>
      </c>
      <c r="B8" s="13" t="inlineStr">
        <is>
          <t>Unity Catalog (YAML). One calc surface per view. Model/joins in YAML; no cross-estate graph.</t>
        </is>
      </c>
      <c r="C8" s="11" t="inlineStr">
        <is>
          <t>Proprietary Semantic Graph (metadata repo) - a true reusable model across all reports.</t>
        </is>
      </c>
      <c r="D8" s="17" t="inlineStr">
        <is>
          <t>Per-workbook data model + published Data Sources (relationships/joins).</t>
        </is>
      </c>
      <c r="E8" s="12" t="inlineStr">
        <is>
          <t>Central semantic model (Power BI dataset / Fabric) with relationships + measures.</t>
        </is>
      </c>
    </row>
    <row r="9" ht="66" customHeight="1">
      <c r="A9" s="16" t="inlineStr">
        <is>
          <t>Calc travels beyond the tool?</t>
        </is>
      </c>
      <c r="B9" s="13" t="inlineStr">
        <is>
          <t>YES - SQL, notebooks, Genie, any BI can query the view.</t>
        </is>
      </c>
      <c r="C9" s="11" t="inlineStr">
        <is>
          <t>NO - locked to MicroStrategy.</t>
        </is>
      </c>
      <c r="D9" s="17" t="inlineStr">
        <is>
          <t>NO - lives in Tableau (calc fields / published source).</t>
        </is>
      </c>
      <c r="E9" s="12" t="inlineStr">
        <is>
          <t>Partly - via XMLA / Analysis Services endpoint, but DAX is PBI-native.</t>
        </is>
      </c>
    </row>
    <row r="10" ht="66" customHeight="1">
      <c r="A10" s="16" t="inlineStr">
        <is>
          <t>Governance / audit of the calc</t>
        </is>
      </c>
      <c r="B10" s="13" t="inlineStr">
        <is>
          <t>Strong - YAML in Unity Catalog / Git, defined once, generated everywhere.</t>
        </is>
      </c>
      <c r="C10" s="11" t="inlineStr">
        <is>
          <t>Within MSTR metadata; auditable inside MSTR.</t>
        </is>
      </c>
      <c r="D10" s="17" t="inlineStr">
        <is>
          <t>Weaker - calc fields can proliferate per workbook unless using a published source.</t>
        </is>
      </c>
      <c r="E10" s="12" t="inlineStr">
        <is>
          <t>Central model helps; but measures can also live scattered in reports.</t>
        </is>
      </c>
    </row>
    <row r="11" ht="66" customHeight="1">
      <c r="A11" s="16" t="inlineStr">
        <is>
          <t>Natural-language front end</t>
        </is>
      </c>
      <c r="B11" s="13" t="inlineStr">
        <is>
          <t>Genie (auto-writes MEASURE() SQL against the view).</t>
        </is>
      </c>
      <c r="C11" s="11" t="inlineStr">
        <is>
          <t>MSTR Auto / AI bot over the semantic graph.</t>
        </is>
      </c>
      <c r="D11" s="17" t="inlineStr">
        <is>
          <t>Tableau Pulse / Ask Data (being reshaped).</t>
        </is>
      </c>
      <c r="E11" s="12" t="inlineStr">
        <is>
          <t>Copilot for Power BI over the model.</t>
        </is>
      </c>
    </row>
    <row r="13" ht="64" customHeight="1">
      <c r="A13" s="16" t="inlineStr">
        <is>
          <t>TAKEAWAY</t>
        </is>
      </c>
      <c r="B13" s="17" t="inlineStr">
        <is>
          <t>All four can do LOD/level-metrics (MV via experimental window measures; MSTR native; Tableau via {FIXED}; Power BI via CALCULATE+ALLEXCEPT). The BIG divider is HIERARCHY + DRILL: MSTR, Tableau, and Power BI all have first-class hierarchy &amp; drill; the Databricks Metric View does NOT - it governs the NUMBER, not the NAVIGATION. So MV = source-of-truth calculation; a BI tool on top = hierarchy, drill, and user-facing exploration.</t>
        </is>
      </c>
    </row>
  </sheetData>
  <mergeCells count="3">
    <mergeCell ref="A2:E2"/>
    <mergeCell ref="B13:E13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1" t="inlineStr">
        <is>
          <t>LOD worked example - 'each position's share of its counterparty total'</t>
        </is>
      </c>
    </row>
    <row r="2">
      <c r="A2" s="2" t="inlineStr">
        <is>
          <t>LOD = compute at a grain you specify, independent of the query grain. File: asset_holdings_metric_view_LOD.yaml</t>
        </is>
      </c>
    </row>
    <row r="4">
      <c r="A4" s="26" t="inlineStr">
        <is>
          <t>Step / tool</t>
        </is>
      </c>
      <c r="B4" s="26" t="inlineStr">
        <is>
          <t>What it is</t>
        </is>
      </c>
      <c r="C4" s="21" t="n"/>
    </row>
    <row r="5" ht="48" customHeight="1">
      <c r="A5" s="5" t="inlineStr">
        <is>
          <t>The problem</t>
        </is>
      </c>
      <c r="B5" s="4" t="inlineStr">
        <is>
          <t>A normal SUM aggregates at whatever you group by. But you want each position (or agreement) to also show its COUNTERPARTY total, so you can compute its share. That needs a measure at counterparty grain while the query is at position/agreement grain.</t>
        </is>
      </c>
    </row>
    <row r="6" ht="48" customHeight="1">
      <c r="A6" s="5" t="inlineStr">
        <is>
          <t>Fixed LOD (the level metric)</t>
        </is>
      </c>
      <c r="B6" s="4" t="inlineStr">
        <is>
          <t>Counterparty Total Collateral = SUM(reported_collateral_value) OVER (PARTITION BY counterpartycode). Surfaced as a dimension, it shows the SAME counterparty total on every row of that counterparty - exactly MicroStrategy's level metric.</t>
        </is>
      </c>
    </row>
    <row r="7" ht="48" customHeight="1">
      <c r="A7" s="5" t="inlineStr">
        <is>
          <t>Coarser LOD (% of total)</t>
        </is>
      </c>
      <c r="B7" s="4" t="inlineStr">
        <is>
          <t>Counterparty Total (window): SUM(reported_collateral_value) with window {order: counterpartycode, range: all}. Then Pct of Counterparty = SUM(collateral) / MEASURE(Counterparty Total (window)). Gives each grouping's share of its counterparty - for ANY grouping the user picks.</t>
        </is>
      </c>
    </row>
    <row r="8" ht="48" customHeight="1">
      <c r="A8" s="5" t="inlineStr">
        <is>
          <t>Tableau equivalent</t>
        </is>
      </c>
      <c r="B8" s="4" t="inlineStr">
        <is>
          <t>{ FIXED [Counterparty Code] : SUM([reported_collateral_value]) }</t>
        </is>
      </c>
    </row>
    <row r="9" ht="48" customHeight="1">
      <c r="A9" s="5" t="inlineStr">
        <is>
          <t>Power BI equivalent</t>
        </is>
      </c>
      <c r="B9" s="4" t="inlineStr">
        <is>
          <t>Cpty Total = CALCULATE(SUM(holdings[reported_collateral_value]), ALLEXCEPT(holdings, holdings[counterpartycode]))</t>
        </is>
      </c>
    </row>
    <row r="10" ht="48" customHeight="1">
      <c r="A10" s="5" t="inlineStr">
        <is>
          <t>MicroStrategy equivalent</t>
        </is>
      </c>
      <c r="B10" s="4" t="inlineStr">
        <is>
          <t>A level metric locked to the Counterparty attribute in the Metric Editor.</t>
        </is>
      </c>
    </row>
    <row r="11" ht="48" customHeight="1">
      <c r="A11" s="5" t="inlineStr">
        <is>
          <t>Caveat</t>
        </is>
      </c>
      <c r="B11" s="4" t="inlineStr">
        <is>
          <t>Metric-view window measures are EXPERIMENTAL and version-sensitive. If the wrapped-SELECT source or window syntax errors on your edition, compute the counterparty total upstream (a column on silver) and expose it as a plain dimension instead.</t>
        </is>
      </c>
    </row>
  </sheetData>
  <mergeCells count="10">
    <mergeCell ref="B6:C6"/>
    <mergeCell ref="B7:C7"/>
    <mergeCell ref="A1:C1"/>
    <mergeCell ref="B11:C11"/>
    <mergeCell ref="B5:C5"/>
    <mergeCell ref="B10:C10"/>
    <mergeCell ref="B9:C9"/>
    <mergeCell ref="B8:C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2026-07-29T22:16:52Z</dcterms:created>
  <dcterms:modified xmlns:dcterms="http://purl.org/dc/terms/" xmlns:xsi="http://www.w3.org/2001/XMLSchema-instance" xsi:type="dcterms:W3CDTF">2026-08-03T20:50:00Z</dcterms:modified>
</cp:coreProperties>
</file>